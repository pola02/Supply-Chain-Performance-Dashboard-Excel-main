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style7.xml" ContentType="application/vnd.ms-office.chartstyle+xml"/>
  <Override PartName="/xl/charts/colors7.xml" ContentType="application/vnd.ms-office.chartcolorstyle+xml"/>
  <Override PartName="/xl/charts/chart13.xml" ContentType="application/vnd.openxmlformats-officedocument.drawingml.chart+xml"/>
  <Override PartName="/xl/charts/style8.xml" ContentType="application/vnd.ms-office.chartstyle+xml"/>
  <Override PartName="/xl/charts/colors8.xml" ContentType="application/vnd.ms-office.chartcolorstyle+xml"/>
  <Override PartName="/xl/charts/chart14.xml" ContentType="application/vnd.openxmlformats-officedocument.drawingml.chart+xml"/>
  <Override PartName="/xl/charts/style9.xml" ContentType="application/vnd.ms-office.chartstyle+xml"/>
  <Override PartName="/xl/charts/colors9.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drawings/drawing4.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0"/>
  <workbookPr hidePivotFieldList="1" defaultThemeVersion="166925"/>
  <mc:AlternateContent xmlns:mc="http://schemas.openxmlformats.org/markup-compatibility/2006">
    <mc:Choice Requires="x15">
      <x15ac:absPath xmlns:x15ac="http://schemas.microsoft.com/office/spreadsheetml/2010/11/ac" url="C:\Users\user\Pictures\Protfolio Projects\Supply Chain Dashboard\"/>
    </mc:Choice>
  </mc:AlternateContent>
  <xr:revisionPtr revIDLastSave="0" documentId="13_ncr:1_{79614D2D-240A-47C1-B49F-2E507EED66FF}" xr6:coauthVersionLast="47" xr6:coauthVersionMax="47" xr10:uidLastSave="{00000000-0000-0000-0000-000000000000}"/>
  <bookViews>
    <workbookView xWindow="-108" yWindow="-108" windowWidth="23256" windowHeight="12576" activeTab="1" xr2:uid="{133B0B41-2E52-4588-9049-BD25C0E58A94}"/>
  </bookViews>
  <sheets>
    <sheet name="Pivot" sheetId="1" r:id="rId1"/>
    <sheet name="Dashboard" sheetId="3" r:id="rId2"/>
    <sheet name="Processing" sheetId="2" r:id="rId3"/>
    <sheet name="Operations" sheetId="6" r:id="rId4"/>
    <sheet name="Dataset" sheetId="5" r:id="rId5"/>
    <sheet name="Insights" sheetId="7" r:id="rId6"/>
  </sheets>
  <definedNames>
    <definedName name="ExternalData_1" localSheetId="4" hidden="1">Dataset!$B$5:$P$476</definedName>
    <definedName name="Slicer_Months__Order_Date">#N/A</definedName>
    <definedName name="Slicer_Warehouse">#N/A</definedName>
    <definedName name="Slicer_Years__Order_Date">#N/A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75" i="2" l="1"/>
  <c r="B89" i="2" s="1"/>
  <c r="B105" i="2"/>
  <c r="B106" i="2"/>
  <c r="B104" i="2"/>
  <c r="D70" i="2"/>
  <c r="B97" i="2"/>
  <c r="D68" i="2"/>
  <c r="B96" i="2"/>
  <c r="D69" i="2"/>
  <c r="B107" i="2" l="1"/>
  <c r="C104" i="2" s="1"/>
  <c r="C97" i="2"/>
  <c r="D85" i="2"/>
  <c r="E77" i="2"/>
  <c r="D86" i="2"/>
  <c r="E86" i="2"/>
  <c r="E82" i="2"/>
  <c r="D78" i="2"/>
  <c r="D82" i="2"/>
  <c r="E84" i="2"/>
  <c r="E81" i="2"/>
  <c r="E78" i="2"/>
  <c r="D88" i="2"/>
  <c r="E85" i="2"/>
  <c r="D77" i="2"/>
  <c r="D83" i="2"/>
  <c r="E83" i="2"/>
  <c r="E87" i="2"/>
  <c r="D81" i="2"/>
  <c r="D87" i="2"/>
  <c r="E88" i="2"/>
  <c r="D84" i="2"/>
  <c r="E79" i="2"/>
  <c r="D80" i="2"/>
  <c r="E80" i="2"/>
  <c r="D79" i="2"/>
  <c r="B81" i="2"/>
  <c r="C83" i="2"/>
  <c r="C88" i="2"/>
  <c r="B85" i="2"/>
  <c r="B88" i="2"/>
  <c r="B78" i="2"/>
  <c r="B80" i="2"/>
  <c r="C78" i="2"/>
  <c r="C86" i="2"/>
  <c r="C80" i="2"/>
  <c r="C84" i="2"/>
  <c r="B84" i="2"/>
  <c r="C77" i="2"/>
  <c r="B86" i="2"/>
  <c r="C82" i="2"/>
  <c r="B83" i="2"/>
  <c r="C85" i="2"/>
  <c r="B79" i="2"/>
  <c r="B77" i="2"/>
  <c r="B82" i="2"/>
  <c r="B87" i="2"/>
  <c r="C81" i="2"/>
  <c r="C79" i="2"/>
  <c r="C87" i="2"/>
  <c r="C105" i="2" l="1"/>
  <c r="C106" i="2"/>
  <c r="C100" i="2"/>
  <c r="B100" i="2"/>
  <c r="H77" i="2" a="1"/>
  <c r="H77" i="2" s="1"/>
  <c r="F75" i="2" a="1"/>
  <c r="F75" i="2" s="1"/>
  <c r="C89" i="2" a="1"/>
  <c r="C89" i="2" s="1"/>
  <c r="F80" i="2" l="1"/>
  <c r="G80" i="2" s="1"/>
  <c r="F84" i="2"/>
  <c r="G84" i="2" s="1"/>
  <c r="F88" i="2"/>
  <c r="G88" i="2" s="1"/>
  <c r="F87" i="2"/>
  <c r="G87" i="2" s="1"/>
  <c r="F81" i="2"/>
  <c r="G81" i="2" s="1"/>
  <c r="F85" i="2"/>
  <c r="G85" i="2" s="1"/>
  <c r="F77" i="2"/>
  <c r="G77" i="2" s="1"/>
  <c r="F83" i="2"/>
  <c r="G83" i="2" s="1"/>
  <c r="F78" i="2"/>
  <c r="G78" i="2" s="1"/>
  <c r="F82" i="2"/>
  <c r="G82" i="2" s="1"/>
  <c r="F86" i="2"/>
  <c r="G86" i="2" s="1"/>
  <c r="F79" i="2"/>
  <c r="G79" i="2" s="1"/>
  <c r="D50" i="2"/>
  <c r="B69" i="2"/>
  <c r="B62" i="2"/>
  <c r="B54" i="2"/>
  <c r="B70" i="2"/>
  <c r="B61" i="2"/>
  <c r="B52" i="2"/>
  <c r="B53" i="2"/>
  <c r="B68" i="2"/>
  <c r="B59" i="2"/>
  <c r="B60" i="2"/>
  <c r="C66" i="2" l="1"/>
  <c r="B71" i="2"/>
  <c r="B63" i="2"/>
  <c r="C59" i="2" s="1"/>
  <c r="C52" i="2"/>
  <c r="D52" i="2" s="1"/>
  <c r="C54" i="2"/>
  <c r="D54" i="2" s="1"/>
  <c r="C53" i="2"/>
  <c r="D53" i="2" s="1"/>
  <c r="A55" i="2" a="1"/>
  <c r="A55" i="2" s="1"/>
  <c r="D51" i="2" l="1"/>
  <c r="D55" i="2" s="1"/>
  <c r="C69" i="2"/>
  <c r="C68" i="2"/>
  <c r="C70" i="2"/>
  <c r="C60" i="2"/>
  <c r="C62" i="2"/>
  <c r="C61" i="2"/>
  <c r="C48" i="2" l="1"/>
  <c r="D48" i="2"/>
  <c r="E48" i="2"/>
  <c r="F48" i="2"/>
  <c r="G48" i="2"/>
  <c r="H48" i="2"/>
  <c r="B48" i="2"/>
  <c r="I48" i="2"/>
  <c r="D20" i="2"/>
  <c r="D21" i="2"/>
  <c r="B43" i="2"/>
  <c r="B40" i="2"/>
  <c r="B41" i="2"/>
  <c r="B42" i="2"/>
  <c r="B44" i="2" l="1"/>
  <c r="D40" i="2" s="1"/>
  <c r="E40" i="2" s="1"/>
  <c r="C40" i="2"/>
  <c r="C43" i="2"/>
  <c r="H46" i="2" s="1" a="1"/>
  <c r="H46" i="2" s="1"/>
  <c r="H47" i="2" s="1"/>
  <c r="C42" i="2"/>
  <c r="C41" i="2"/>
  <c r="D42" i="2" l="1"/>
  <c r="E42" i="2" s="1"/>
  <c r="D43" i="2"/>
  <c r="E43" i="2" s="1"/>
  <c r="D41" i="2"/>
  <c r="E41" i="2" s="1"/>
  <c r="D46" i="2" a="1"/>
  <c r="D46" i="2" s="1"/>
  <c r="D47" i="2" s="1"/>
  <c r="E46" i="2" a="1"/>
  <c r="E46" i="2" s="1"/>
  <c r="E47" i="2" s="1"/>
  <c r="F46" i="2" a="1"/>
  <c r="F46" i="2" s="1"/>
  <c r="F47" i="2" s="1"/>
  <c r="G46" i="2" a="1"/>
  <c r="G46" i="2" s="1"/>
  <c r="G47" i="2" s="1"/>
  <c r="B46" i="2" a="1"/>
  <c r="B46" i="2" s="1"/>
  <c r="B47" i="2" s="1"/>
  <c r="C46" i="2" a="1"/>
  <c r="C46" i="2" s="1"/>
  <c r="C47" i="2" s="1"/>
  <c r="D25" i="2"/>
  <c r="D26" i="2"/>
  <c r="D31" i="2"/>
  <c r="D30" i="2"/>
  <c r="D28" i="2"/>
  <c r="D29" i="2"/>
  <c r="D35" i="2"/>
  <c r="D33" i="2"/>
  <c r="D34" i="2"/>
  <c r="D32" i="2"/>
  <c r="D27" i="2"/>
  <c r="D24" i="2"/>
  <c r="B24" i="2"/>
  <c r="B25" i="2"/>
  <c r="B26" i="2"/>
  <c r="B30" i="2"/>
  <c r="B28" i="2"/>
  <c r="B29" i="2"/>
  <c r="B35" i="2"/>
  <c r="B32" i="2"/>
  <c r="B33" i="2"/>
  <c r="B34" i="2"/>
  <c r="B27" i="2"/>
  <c r="B31" i="2"/>
  <c r="C24" i="2"/>
  <c r="C30" i="2"/>
  <c r="C35" i="2"/>
  <c r="C28" i="2"/>
  <c r="C34" i="2"/>
  <c r="C25" i="2"/>
  <c r="C32" i="2"/>
  <c r="C27" i="2"/>
  <c r="C29" i="2"/>
  <c r="C26" i="2"/>
  <c r="C31" i="2"/>
  <c r="C33" i="2"/>
  <c r="C36" i="2" l="1"/>
  <c r="D36" i="2"/>
  <c r="D37" i="2" s="1"/>
  <c r="F24" i="2"/>
  <c r="F28" i="2"/>
  <c r="F35" i="2"/>
  <c r="F31" i="2"/>
  <c r="F27" i="2"/>
  <c r="F34" i="2"/>
  <c r="F30" i="2"/>
  <c r="F26" i="2"/>
  <c r="F32" i="2"/>
  <c r="F33" i="2"/>
  <c r="F29" i="2"/>
  <c r="F25" i="2"/>
  <c r="E33" i="2"/>
  <c r="E29" i="2"/>
  <c r="E25" i="2"/>
  <c r="E35" i="2"/>
  <c r="E31" i="2"/>
  <c r="E27" i="2"/>
  <c r="E34" i="2"/>
  <c r="E30" i="2"/>
  <c r="E26" i="2"/>
  <c r="E32" i="2"/>
  <c r="E28" i="2"/>
  <c r="E24" i="2"/>
  <c r="C5" i="2" l="1"/>
  <c r="E9" i="2"/>
  <c r="B16" i="2"/>
  <c r="A2" i="2"/>
  <c r="B12" i="2"/>
  <c r="D2" i="2"/>
  <c r="B17" i="2"/>
  <c r="C2" i="2"/>
  <c r="C16" i="2"/>
  <c r="B2" i="2"/>
  <c r="D5" i="2" l="1" a="1"/>
  <c r="D5" i="2" s="1"/>
  <c r="E19" i="2"/>
  <c r="E17" i="2"/>
  <c r="D15" i="2"/>
  <c r="E16" i="2"/>
  <c r="D17" i="2"/>
  <c r="D10" i="2"/>
  <c r="E14" i="2"/>
  <c r="D16" i="2"/>
  <c r="E15" i="2"/>
  <c r="D8" i="2"/>
  <c r="E8" i="2"/>
  <c r="E10" i="2"/>
  <c r="E12" i="2"/>
  <c r="E18" i="2"/>
  <c r="E13" i="2"/>
  <c r="D13" i="2"/>
  <c r="D18" i="2"/>
  <c r="D9" i="2"/>
  <c r="D14" i="2"/>
  <c r="D11" i="2"/>
  <c r="D12" i="2"/>
  <c r="D19" i="2"/>
  <c r="E11" i="2"/>
  <c r="C11" i="2"/>
  <c r="C12" i="2"/>
  <c r="B15" i="2"/>
  <c r="C14" i="2"/>
  <c r="B10" i="2"/>
  <c r="B19" i="2"/>
  <c r="C18" i="2"/>
  <c r="B14" i="2"/>
  <c r="C9" i="2"/>
  <c r="C8" i="2"/>
  <c r="B18" i="2"/>
  <c r="C13" i="2"/>
  <c r="B9" i="2"/>
  <c r="B8" i="2"/>
  <c r="C15" i="2"/>
  <c r="B13" i="2"/>
  <c r="C17" i="2"/>
  <c r="C19" i="2"/>
  <c r="B11" i="2"/>
  <c r="C10" i="2"/>
  <c r="C20" i="2" l="1" a="1"/>
  <c r="C20"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B523D7-F85B-4E13-B810-6A4D2598BB1F}" keepAlive="1" name="Query - dirty_supply_chain_dataset" description="Connection to the 'dirty_supply_chain_dataset' query in the workbook." type="5" refreshedVersion="8" background="1">
    <dbPr connection="Provider=Microsoft.Mashup.OleDb.1;Data Source=$Workbook$;Location=dirty_supply_chain_dataset;Extended Properties=&quot;&quot;" command="SELECT * FROM [dirty_supply_chain_dataset]"/>
  </connection>
  <connection id="2" xr16:uid="{A7493367-FCD9-49EA-92E4-925F54EFADE8}" keepAlive="1" name="Query - dirty_supply_chain_dataset (2)" description="Connection to the 'dirty_supply_chain_dataset (2)' query in the workbook." type="5" refreshedVersion="8" background="1" saveData="1">
    <dbPr connection="Provider=Microsoft.Mashup.OleDb.1;Data Source=$Workbook$;Location=&quot;dirty_supply_chain_dataset (2)&quot;;Extended Properties=&quot;&quot;" command="SELECT * FROM [dirty_supply_chain_dataset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<sst xmlns="http://schemas.openxmlformats.org/spreadsheetml/2006/main" count="4032" uniqueCount="561">
  <si>
    <t>Row Labels</t>
  </si>
  <si>
    <t>ORD1001</t>
  </si>
  <si>
    <t>ORD1002</t>
  </si>
  <si>
    <t>ORD1003</t>
  </si>
  <si>
    <t>ORD1004</t>
  </si>
  <si>
    <t>ORD1006</t>
  </si>
  <si>
    <t>ORD1007</t>
  </si>
  <si>
    <t>ORD1008</t>
  </si>
  <si>
    <t>ORD1009</t>
  </si>
  <si>
    <t>ORD1010</t>
  </si>
  <si>
    <t>ORD1011</t>
  </si>
  <si>
    <t>ORD1012</t>
  </si>
  <si>
    <t>ORD1014</t>
  </si>
  <si>
    <t>ORD1015</t>
  </si>
  <si>
    <t>ORD1016</t>
  </si>
  <si>
    <t>ORD1017</t>
  </si>
  <si>
    <t>ORD1018</t>
  </si>
  <si>
    <t>ORD1020</t>
  </si>
  <si>
    <t>ORD1021</t>
  </si>
  <si>
    <t>ORD1022</t>
  </si>
  <si>
    <t>ORD1023</t>
  </si>
  <si>
    <t>ORD1024</t>
  </si>
  <si>
    <t>ORD1026</t>
  </si>
  <si>
    <t>ORD1027</t>
  </si>
  <si>
    <t>ORD1028</t>
  </si>
  <si>
    <t>ORD1029</t>
  </si>
  <si>
    <t>ORD1030</t>
  </si>
  <si>
    <t>ORD1031</t>
  </si>
  <si>
    <t>ORD1032</t>
  </si>
  <si>
    <t>ORD1033</t>
  </si>
  <si>
    <t>ORD1034</t>
  </si>
  <si>
    <t>ORD1035</t>
  </si>
  <si>
    <t>ORD1036</t>
  </si>
  <si>
    <t>ORD1037</t>
  </si>
  <si>
    <t>ORD1038</t>
  </si>
  <si>
    <t>ORD1039</t>
  </si>
  <si>
    <t>ORD1040</t>
  </si>
  <si>
    <t>ORD1041</t>
  </si>
  <si>
    <t>ORD1043</t>
  </si>
  <si>
    <t>ORD1044</t>
  </si>
  <si>
    <t>ORD1045</t>
  </si>
  <si>
    <t>ORD1046</t>
  </si>
  <si>
    <t>ORD1047</t>
  </si>
  <si>
    <t>ORD1048</t>
  </si>
  <si>
    <t>ORD1049</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</si>
  <si>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</si>
  <si>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</si>
  <si>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</si>
  <si>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</si>
  <si>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</si>
  <si>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</si>
  <si>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</si>
  <si>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</si>
  <si>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</si>
  <si>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</si>
  <si>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</si>
  <si>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</si>
  <si>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</si>
  <si>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</si>
  <si>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</si>
  <si>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</si>
  <si>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</si>
  <si>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</si>
  <si>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</si>
  <si>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ORD1072</t>
  </si>
  <si>
    <t>ORD1073</t>
  </si>
  <si>
    <t>ORD1074</t>
  </si>
  <si>
    <t>ORD1075</t>
  </si>
  <si>
    <t>ORD1076</t>
  </si>
  <si>
    <t>ORD1077</t>
  </si>
  <si>
    <t>ORD1078</t>
  </si>
  <si>
    <t>ORD1079</t>
  </si>
  <si>
    <t>ORD1080</t>
  </si>
  <si>
    <t>ORD1081</t>
  </si>
  <si>
    <t>ORD1082</t>
  </si>
  <si>
    <t>ORD1084</t>
  </si>
  <si>
    <t>ORD1085</t>
  </si>
  <si>
    <t>ORD1086</t>
  </si>
  <si>
    <t>ORD1087</t>
  </si>
  <si>
    <t>ORD1088</t>
  </si>
  <si>
    <t>ORD1089</t>
  </si>
  <si>
    <t>ORD1090</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</si>
  <si>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</si>
  <si>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</si>
  <si>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</si>
  <si>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</si>
  <si>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</si>
  <si>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</si>
  <si>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</si>
  <si>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</si>
  <si>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</si>
  <si>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</si>
  <si>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</si>
  <si>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</si>
  <si>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</si>
  <si>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</si>
  <si>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</si>
  <si>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</si>
  <si>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</si>
  <si>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</si>
  <si>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</si>
  <si>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</si>
  <si>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</si>
  <si>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ORD1114</t>
  </si>
  <si>
    <t>ORD1115</t>
  </si>
  <si>
    <t>ORD1116</t>
  </si>
  <si>
    <t>ORD1117</t>
  </si>
  <si>
    <t>ORD1119</t>
  </si>
  <si>
    <t>ORD1120</t>
  </si>
  <si>
    <t>ORD1121</t>
  </si>
  <si>
    <t>ORD1122</t>
  </si>
  <si>
    <t>ORD1124</t>
  </si>
  <si>
    <t>ORD1126</t>
  </si>
  <si>
    <t>ORD1127</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</si>
  <si>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</si>
  <si>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</si>
  <si>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</si>
  <si>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</si>
  <si>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</si>
  <si>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</si>
  <si>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</si>
  <si>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</si>
  <si>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</si>
  <si>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</si>
  <si>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</si>
  <si>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</si>
  <si>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</si>
  <si>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</si>
  <si>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</si>
  <si>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</si>
  <si>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</si>
  <si>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</si>
  <si>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</si>
  <si>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</si>
  <si>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</si>
  <si>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</si>
  <si>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</si>
  <si>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</si>
  <si>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</si>
  <si>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</si>
  <si>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</si>
  <si>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</si>
  <si>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</si>
  <si>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</si>
  <si>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</si>
  <si>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</si>
  <si>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</si>
  <si>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</si>
  <si>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</si>
  <si>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</si>
  <si>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</si>
  <si>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</si>
  <si>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</si>
  <si>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</si>
  <si>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</si>
  <si>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</si>
  <si>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</si>
  <si>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</si>
  <si>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</si>
  <si>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</si>
  <si>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</si>
  <si>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</si>
  <si>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</si>
  <si>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</si>
  <si>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</si>
  <si>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</si>
  <si>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</si>
  <si>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</si>
  <si>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</si>
  <si>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</si>
  <si>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</si>
  <si>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</si>
  <si>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</si>
  <si>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</si>
  <si>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</si>
  <si>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</si>
  <si>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</si>
  <si>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</si>
  <si>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ORD1195</t>
  </si>
  <si>
    <t>ORD1196</t>
  </si>
  <si>
    <t>ORD1197</t>
  </si>
  <si>
    <t>ORD1198</t>
  </si>
  <si>
    <t>ORD1199</t>
  </si>
  <si>
    <t>ORD1200</t>
  </si>
  <si>
    <t>ORD1201</t>
  </si>
  <si>
    <t>ORD1203</t>
  </si>
  <si>
    <t>ORD1204</t>
  </si>
  <si>
    <t>ORD1205</t>
  </si>
  <si>
    <t>ORD1206</t>
  </si>
  <si>
    <t>ORD1207</t>
  </si>
  <si>
    <t>ORD1208</t>
  </si>
  <si>
    <t>ORD1209</t>
  </si>
  <si>
    <t>ORD1210</t>
  </si>
  <si>
    <t>ORD1211</t>
  </si>
  <si>
    <t>ORD1212</t>
  </si>
  <si>
    <t>ORD1213</t>
  </si>
  <si>
    <t>ORD1215</t>
  </si>
  <si>
    <t>ORD1216</t>
  </si>
  <si>
    <t>ORD1218</t>
  </si>
  <si>
    <t>ORD1219</t>
  </si>
  <si>
    <t>ORD1220</t>
  </si>
  <si>
    <t>ORD1221</t>
  </si>
  <si>
    <t>ORD1222</t>
  </si>
  <si>
    <t>ORD1224</t>
  </si>
  <si>
    <t>ORD1225</t>
  </si>
  <si>
    <t>ORD1226</t>
  </si>
  <si>
    <t>ORD1227</t>
  </si>
  <si>
    <t>ORD1228</t>
  </si>
  <si>
    <t>ORD1230</t>
  </si>
  <si>
    <t>ORD1231</t>
  </si>
  <si>
    <t>ORD1232</t>
  </si>
  <si>
    <t>ORD1233</t>
  </si>
  <si>
    <t>ORD1234</t>
  </si>
  <si>
    <t>ORD1235</t>
  </si>
  <si>
    <t>ORD1236</t>
  </si>
  <si>
    <t>ORD1237</t>
  </si>
  <si>
    <t>ORD1238</t>
  </si>
  <si>
    <t>ORD1239</t>
  </si>
  <si>
    <t>ORD1241</t>
  </si>
  <si>
    <t>ORD1242</t>
  </si>
  <si>
    <t>ORD1243</t>
  </si>
  <si>
    <t>ORD1244</t>
  </si>
  <si>
    <t>ORD1245</t>
  </si>
  <si>
    <t>ORD1246</t>
  </si>
  <si>
    <t>ORD1247</t>
  </si>
  <si>
    <t>ORD1249</t>
  </si>
  <si>
    <t>ORD1250</t>
  </si>
  <si>
    <t>ORD1251</t>
  </si>
  <si>
    <t>ORD1252</t>
  </si>
  <si>
    <t>ORD1253</t>
  </si>
  <si>
    <t>ORD1254</t>
  </si>
  <si>
    <t>ORD1255</t>
  </si>
  <si>
    <t>ORD1256</t>
  </si>
  <si>
    <t>ORD1257</t>
  </si>
  <si>
    <t>ORD1258</t>
  </si>
  <si>
    <t>ORD1259</t>
  </si>
  <si>
    <t>ORD1260</t>
  </si>
  <si>
    <t>ORD1261</t>
  </si>
  <si>
    <t>ORD1263</t>
  </si>
  <si>
    <t>ORD1264</t>
  </si>
  <si>
    <t>ORD1265</t>
  </si>
  <si>
    <t>ORD1266</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</si>
  <si>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</si>
  <si>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</si>
  <si>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</si>
  <si>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</si>
  <si>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</si>
  <si>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</si>
  <si>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</si>
  <si>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</si>
  <si>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</si>
  <si>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</si>
  <si>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</si>
  <si>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</si>
  <si>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</si>
  <si>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</si>
  <si>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</si>
  <si>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</si>
  <si>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</si>
  <si>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</si>
  <si>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</si>
  <si>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</si>
  <si>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</si>
  <si>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</si>
  <si>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</si>
  <si>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</si>
  <si>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</si>
  <si>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</si>
  <si>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</si>
  <si>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</si>
  <si>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</si>
  <si>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</si>
  <si>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</si>
  <si>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</si>
  <si>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</si>
  <si>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</si>
  <si>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</si>
  <si>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</si>
  <si>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</si>
  <si>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</si>
  <si>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</si>
  <si>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</si>
  <si>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</si>
  <si>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</si>
  <si>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</si>
  <si>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</si>
  <si>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</si>
  <si>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</si>
  <si>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</si>
  <si>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</si>
  <si>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</si>
  <si>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</si>
  <si>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</si>
  <si>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</si>
  <si>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</si>
  <si>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</si>
  <si>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</si>
  <si>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</si>
  <si>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</si>
  <si>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</si>
  <si>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</si>
  <si>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</si>
  <si>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</si>
  <si>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</si>
  <si>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</si>
  <si>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</si>
  <si>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ORD1335</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</si>
  <si>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</si>
  <si>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</si>
  <si>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</si>
  <si>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</si>
  <si>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</si>
  <si>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</si>
  <si>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</si>
  <si>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</si>
  <si>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</si>
  <si>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</si>
  <si>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</si>
  <si>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</si>
  <si>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</si>
  <si>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</si>
  <si>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</si>
  <si>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</si>
  <si>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</si>
  <si>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</si>
  <si>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ORD1356</t>
  </si>
  <si>
    <t>ORD1357</t>
  </si>
  <si>
    <t>ORD1358</t>
  </si>
  <si>
    <t>ORD1359</t>
  </si>
  <si>
    <t>ORD1360</t>
  </si>
  <si>
    <t>ORD1361</t>
  </si>
  <si>
    <t>ORD1362</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</si>
  <si>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</si>
  <si>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</si>
  <si>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</si>
  <si>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</si>
  <si>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</si>
  <si>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</si>
  <si>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</si>
  <si>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</si>
  <si>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</si>
  <si>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</si>
  <si>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</si>
  <si>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</si>
  <si>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</si>
  <si>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</si>
  <si>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</si>
  <si>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</si>
  <si>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</si>
  <si>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</si>
  <si>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</si>
  <si>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</si>
  <si>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</si>
  <si>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</si>
  <si>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</si>
  <si>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</si>
  <si>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</si>
  <si>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</si>
  <si>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</si>
  <si>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</si>
  <si>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</si>
  <si>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</si>
  <si>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</si>
  <si>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</si>
  <si>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</si>
  <si>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</si>
  <si>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</si>
  <si>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</si>
  <si>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</si>
  <si>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</si>
  <si>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</si>
  <si>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</si>
  <si>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</si>
  <si>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</si>
  <si>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</si>
  <si>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</si>
  <si>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</si>
  <si>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</si>
  <si>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</si>
  <si>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</si>
  <si>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</si>
  <si>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</si>
  <si>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</si>
  <si>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</si>
  <si>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</si>
  <si>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</si>
  <si>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</si>
  <si>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</si>
  <si>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</si>
  <si>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</si>
  <si>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</si>
  <si>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</si>
  <si>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</si>
  <si>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</si>
  <si>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</si>
  <si>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</si>
  <si>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ORD1431</t>
  </si>
  <si>
    <t>ORD1432</t>
  </si>
  <si>
    <t>ORD1433</t>
  </si>
  <si>
    <t>ORD1434</t>
  </si>
  <si>
    <t>ORD1435</t>
  </si>
  <si>
    <t>ORD1436</t>
  </si>
  <si>
    <t>ORD1437</t>
  </si>
  <si>
    <t>ORD1440</t>
  </si>
  <si>
    <t>ORD1441</t>
  </si>
  <si>
    <t>ORD1442</t>
  </si>
  <si>
    <t>ORD1443</t>
  </si>
  <si>
    <t>ORD1444</t>
  </si>
  <si>
    <t>ORD1445</t>
  </si>
  <si>
    <t>ORD1446</t>
  </si>
  <si>
    <t>ORD1447</t>
  </si>
  <si>
    <t>ORD1449</t>
  </si>
  <si>
    <t>ORD1450</t>
  </si>
  <si>
    <t>ORD1451</t>
  </si>
  <si>
    <t>ORD1452</t>
  </si>
  <si>
    <t>ORD1453</t>
  </si>
  <si>
    <t>ORD1454</t>
  </si>
  <si>
    <t>ORD1455</t>
  </si>
  <si>
    <t>ORD1456</t>
  </si>
  <si>
    <t>ORD1458</t>
  </si>
  <si>
    <t>ORD1459</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</si>
  <si>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</si>
  <si>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</si>
  <si>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</si>
  <si>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</si>
  <si>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</si>
  <si>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</si>
  <si>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</si>
  <si>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</si>
  <si>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</si>
  <si>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</si>
  <si>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</si>
  <si>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</si>
  <si>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</si>
  <si>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</si>
  <si>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</si>
  <si>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</si>
  <si>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</si>
  <si>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</si>
  <si>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</si>
  <si>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</si>
  <si>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</si>
  <si>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</si>
  <si>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</si>
  <si>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</si>
  <si>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ORD1487</t>
  </si>
  <si>
    <t>ORD1488</t>
  </si>
  <si>
    <t>ORD1489</t>
  </si>
  <si>
    <t>ORD1490</t>
  </si>
  <si>
    <t>ORD1491</t>
  </si>
  <si>
    <t>ORD1492</t>
  </si>
  <si>
    <t>ORD1493</t>
  </si>
  <si>
    <t>ORD1494</t>
  </si>
  <si>
    <t>ORD1495</t>
  </si>
  <si>
    <t>ORD1496</t>
  </si>
  <si>
    <t>ORD1498</t>
  </si>
  <si>
    <t>ORD1499</t>
  </si>
  <si>
    <t>Grand Total</t>
  </si>
  <si>
    <t>Count of Order_ID</t>
  </si>
  <si>
    <t>Sum of Quantity</t>
  </si>
  <si>
    <t>2023</t>
  </si>
  <si>
    <t>2024</t>
  </si>
  <si>
    <t>Jan</t>
  </si>
  <si>
    <t>Feb</t>
  </si>
  <si>
    <t>Mar</t>
  </si>
  <si>
    <t>Apr</t>
  </si>
  <si>
    <t>May</t>
  </si>
  <si>
    <t>Jun</t>
  </si>
  <si>
    <t>Jul</t>
  </si>
  <si>
    <t>Aug</t>
  </si>
  <si>
    <t>Sep</t>
  </si>
  <si>
    <t>Oct</t>
  </si>
  <si>
    <t>Nov</t>
  </si>
  <si>
    <t>Dec</t>
  </si>
  <si>
    <t>Cancelled</t>
  </si>
  <si>
    <t>Delivered</t>
  </si>
  <si>
    <t>Pending</t>
  </si>
  <si>
    <t>Air</t>
  </si>
  <si>
    <t>Rail</t>
  </si>
  <si>
    <t>Road</t>
  </si>
  <si>
    <t>Sea</t>
  </si>
  <si>
    <t>WH1</t>
  </si>
  <si>
    <t xml:space="preserve">WH1 </t>
  </si>
  <si>
    <t>WH2</t>
  </si>
  <si>
    <t>WH3</t>
  </si>
  <si>
    <t>China</t>
  </si>
  <si>
    <t>Germany</t>
  </si>
  <si>
    <t>India</t>
  </si>
  <si>
    <t>USA</t>
  </si>
  <si>
    <t>Sum of Total_Cost</t>
  </si>
  <si>
    <t>Supplierx</t>
  </si>
  <si>
    <t>Suppliery</t>
  </si>
  <si>
    <t>Supplierz</t>
  </si>
  <si>
    <t>Gadget C</t>
  </si>
  <si>
    <t>Tool D</t>
  </si>
  <si>
    <t>Widget A</t>
  </si>
  <si>
    <t>Widget B</t>
  </si>
  <si>
    <t>Average of Delay_Days</t>
  </si>
  <si>
    <t>Total Orders</t>
  </si>
  <si>
    <t>Total Quantity</t>
  </si>
  <si>
    <t>Total Cost</t>
  </si>
  <si>
    <t>Avg Delay Days</t>
  </si>
  <si>
    <t>Monthly Quantity Trends</t>
  </si>
  <si>
    <t>QTY</t>
  </si>
  <si>
    <t>Cursor Q</t>
  </si>
  <si>
    <t>Column Labels</t>
  </si>
  <si>
    <t>Cursor 2024</t>
  </si>
  <si>
    <t>Cursor 2023</t>
  </si>
  <si>
    <t>indent</t>
  </si>
  <si>
    <t>2023-Fill</t>
  </si>
  <si>
    <t>Country by Total Cost</t>
  </si>
  <si>
    <t>Value</t>
  </si>
  <si>
    <t>%</t>
  </si>
  <si>
    <t>Done</t>
  </si>
  <si>
    <t>Running</t>
  </si>
  <si>
    <t>Asset 1</t>
  </si>
  <si>
    <t>Asset 2</t>
  </si>
  <si>
    <t>Asset 3</t>
  </si>
  <si>
    <t>Asset 4</t>
  </si>
  <si>
    <t>Sectors</t>
  </si>
  <si>
    <t>percetage %</t>
  </si>
  <si>
    <t>Warehouse</t>
  </si>
  <si>
    <t>Warehouse by Orders</t>
  </si>
  <si>
    <t>Transport by Orders</t>
  </si>
  <si>
    <t>Orders</t>
  </si>
  <si>
    <t>O1</t>
  </si>
  <si>
    <t>QTY &amp; Orders by Status</t>
  </si>
  <si>
    <t>Monthly Orders</t>
  </si>
  <si>
    <t>Monthly Order Trends</t>
  </si>
  <si>
    <t>indent2</t>
  </si>
  <si>
    <t>Label</t>
  </si>
  <si>
    <t>Yearly Performance</t>
  </si>
  <si>
    <t>Positive</t>
  </si>
  <si>
    <t>Negative</t>
  </si>
  <si>
    <t>Accessories</t>
  </si>
  <si>
    <t>Electronics</t>
  </si>
  <si>
    <t>Hardware</t>
  </si>
  <si>
    <t>QTY by Category</t>
  </si>
  <si>
    <t>PRIMARY KPIs</t>
  </si>
  <si>
    <t>Orders &amp; QTY by Status</t>
  </si>
  <si>
    <t>Orders by Transport</t>
  </si>
  <si>
    <t>Order by Warehouses</t>
  </si>
  <si>
    <t>Country wise Cost</t>
  </si>
  <si>
    <t>Category wise QTY</t>
  </si>
  <si>
    <t>Order_ID</t>
  </si>
  <si>
    <t>Product</t>
  </si>
  <si>
    <t>Category</t>
  </si>
  <si>
    <t>Supplier</t>
  </si>
  <si>
    <t>Country</t>
  </si>
  <si>
    <t>Order_Date</t>
  </si>
  <si>
    <t>Ship_Date</t>
  </si>
  <si>
    <t>Delivery_Date</t>
  </si>
  <si>
    <t>Quantity</t>
  </si>
  <si>
    <t>Unit_Price</t>
  </si>
  <si>
    <t>Total_Cost</t>
  </si>
  <si>
    <t>Transport_Mode</t>
  </si>
  <si>
    <t>Status</t>
  </si>
  <si>
    <t>Delay_Days</t>
  </si>
  <si>
    <t>ORD1050</t>
  </si>
  <si>
    <t>ORD1217</t>
  </si>
  <si>
    <t>ORD1336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</si>
</sst>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gt;=1000000]&quot;$&quot;0.0,,&quot;M&quot;;[&gt;=1000]&quot;$&quot;0,&quot;K&quot;;&quot;$&quot;0"/>
    <numFmt numFmtId="165" formatCode="[&gt;=1000000]0,,&quot;M&quot;;[&gt;=1000]0,&quot;K&quot;;0"/>
    <numFmt numFmtId="166" formatCode="[&gt;=1000000]0.0,,&quot;M&quot;;[&gt;=1000]0.0,&quot;K&quot;;0.0"/>
    <numFmt numFmtId="167" formatCode="_(* #,##0_);_(* \(#,##0\);_(* &quot;-&quot;??_);_(@_)"/>
    <numFmt numFmtId="168" formatCode="&quot;$&quot;00,000"/>
    <numFmt numFmtId="169" formatCode="[&gt;=1000000]&quot;$&quot;0,,&quot;M&quot;;[&gt;=1000]&quot;$&quot;0,&quot;K&quot;;&quot;$&quot;0"/>
    <numFmt numFmtId="170" formatCode="\+0%;\-0%;0%"/>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1"/>
      <color rgb="FFFFE699"/>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rgb="FF7088A9"/>
        <bgColor indexed="64"/>
      </patternFill>
    </fill>
    <fill>
      <patternFill patternType="solid">
        <fgColor rgb="FFFFFF00"/>
        <bgColor indexed="64"/>
      </patternFill>
    </fill>
    <fill>
      <patternFill patternType="solid">
        <fgColor rgb="FF091A2C"/>
        <bgColor indexed="64"/>
      </patternFill>
    </fill>
  </fills>
  <borders count="11">
    <border>
      <left/>
      <right/>
      <top/>
      <bottom/>
      <diagonal/>
    </border>
    <border>
      <left/>
      <right/>
      <top/>
      <bottom style="thin">
        <color theme="4" tint="0.39997558519241921"/>
      </bottom>
      <diagonal/>
    </border>
    <border>
      <left style="thin">
        <color rgb="FF3D8ED9"/>
      </left>
      <right style="thin">
        <color rgb="FF3D8ED9"/>
      </right>
      <top style="thin">
        <color rgb="FF3D8ED9"/>
      </top>
      <bottom style="thin">
        <color rgb="FF3D8ED9"/>
      </bottom>
      <diagonal/>
    </border>
    <border>
      <left/>
      <right style="thin">
        <color rgb="FF3D8ED9"/>
      </right>
      <top/>
      <bottom style="thin">
        <color rgb="FF3D8ED9"/>
      </bottom>
      <diagonal/>
    </border>
    <border>
      <left style="thin">
        <color rgb="FF3D8ED9"/>
      </left>
      <right style="thin">
        <color rgb="FF3D8ED9"/>
      </right>
      <top/>
      <bottom style="thin">
        <color rgb="FF3D8ED9"/>
      </bottom>
      <diagonal/>
    </border>
    <border>
      <left style="thin">
        <color rgb="FF3D8ED9"/>
      </left>
      <right/>
      <top/>
      <bottom style="thin">
        <color rgb="FF3D8ED9"/>
      </bottom>
      <diagonal/>
    </border>
    <border>
      <left/>
      <right style="thin">
        <color rgb="FF3D8ED9"/>
      </right>
      <top style="thin">
        <color rgb="FF3D8ED9"/>
      </top>
      <bottom style="thin">
        <color rgb="FF3D8ED9"/>
      </bottom>
      <diagonal/>
    </border>
    <border>
      <left style="thin">
        <color rgb="FF3D8ED9"/>
      </left>
      <right/>
      <top style="thin">
        <color rgb="FF3D8ED9"/>
      </top>
      <bottom style="thin">
        <color rgb="FF3D8ED9"/>
      </bottom>
      <diagonal/>
    </border>
    <border>
      <left/>
      <right style="thin">
        <color rgb="FF3D8ED9"/>
      </right>
      <top style="thin">
        <color rgb="FF3D8ED9"/>
      </top>
      <bottom/>
      <diagonal/>
    </border>
    <border>
      <left style="thin">
        <color rgb="FF3D8ED9"/>
      </left>
      <right style="thin">
        <color rgb="FF3D8ED9"/>
      </right>
      <top style="thin">
        <color rgb="FF3D8ED9"/>
      </top>
      <bottom/>
      <diagonal/>
    </border>
    <border>
      <left style="thin">
        <color rgb="FF3D8ED9"/>
      </left>
      <right/>
      <top style="thin">
        <color rgb="FF3D8ED9"/>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7">
    <xf numFmtId="0" fontId="0" fillId="0" borderId="0" xfId="0"/>
    <xf numFmtId="0" fontId="0" fillId="0" borderId="0" xfId="0" pivotButton="1"/>
    <xf numFmtId="0" fontId="0" fillId="0" borderId="0" xfId="0" applyAlignment="1">
      <alignment horizontal="left"/>
    </xf>
    <xf numFmtId="0" fontId="0" fillId="0" borderId="0" xfId="0" applyNumberFormat="1"/>
    <xf numFmtId="0" fontId="2" fillId="2" borderId="1" xfId="0" applyFont="1" applyFill="1" applyBorder="1"/>
    <xf numFmtId="0" fontId="0" fillId="3" borderId="0" xfId="0" applyFill="1"/>
    <xf numFmtId="0" fontId="2" fillId="0" borderId="0" xfId="0" applyFont="1"/>
    <xf numFmtId="164" fontId="0" fillId="0" borderId="0" xfId="0" applyNumberFormat="1"/>
    <xf numFmtId="165" fontId="0" fillId="0" borderId="0" xfId="0" applyNumberFormat="1"/>
    <xf numFmtId="165" fontId="2" fillId="0" borderId="0" xfId="0" applyNumberFormat="1" applyFont="1"/>
    <xf numFmtId="0" fontId="2" fillId="2" borderId="0" xfId="0" applyFont="1" applyFill="1" applyBorder="1"/>
    <xf numFmtId="9" fontId="0" fillId="0" borderId="0" xfId="0" applyNumberFormat="1"/>
    <xf numFmtId="166" fontId="2" fillId="0" borderId="0" xfId="0" applyNumberFormat="1" applyFont="1"/>
    <xf numFmtId="9" fontId="0" fillId="0" borderId="0" xfId="2" applyFont="1"/>
    <xf numFmtId="0" fontId="0" fillId="0" borderId="0" xfId="0" applyAlignment="1">
      <alignment horizontal="center"/>
    </xf>
    <xf numFmtId="0" fontId="2" fillId="0" borderId="0" xfId="0" applyFont="1" applyAlignment="1">
      <alignment horizontal="center"/>
    </xf>
    <xf numFmtId="167" fontId="2" fillId="0" borderId="0" xfId="1" applyNumberFormat="1" applyFont="1"/>
    <xf numFmtId="168" fontId="2" fillId="0" borderId="0" xfId="1" applyNumberFormat="1" applyFont="1"/>
    <xf numFmtId="169" fontId="0" fillId="0" borderId="0" xfId="0" applyNumberFormat="1"/>
    <xf numFmtId="167" fontId="0" fillId="0" borderId="0" xfId="1" applyNumberFormat="1" applyFont="1"/>
    <xf numFmtId="1" fontId="0" fillId="0" borderId="0" xfId="0" applyNumberFormat="1"/>
    <xf numFmtId="170" fontId="0" fillId="0" borderId="0" xfId="2" applyNumberFormat="1" applyFont="1"/>
    <xf numFmtId="0" fontId="4" fillId="4" borderId="0" xfId="0" applyFont="1" applyFill="1"/>
    <xf numFmtId="0" fontId="0" fillId="5" borderId="0" xfId="0" applyFill="1"/>
    <xf numFmtId="0" fontId="3" fillId="5" borderId="6" xfId="0" applyNumberFormat="1" applyFont="1" applyFill="1" applyBorder="1"/>
    <xf numFmtId="0" fontId="3" fillId="5" borderId="2" xfId="0" applyNumberFormat="1" applyFont="1" applyFill="1" applyBorder="1"/>
    <xf numFmtId="14" fontId="3" fillId="5" borderId="2" xfId="0" applyNumberFormat="1" applyFont="1" applyFill="1" applyBorder="1"/>
    <xf numFmtId="0" fontId="3" fillId="5" borderId="2" xfId="0" applyFont="1" applyFill="1" applyBorder="1"/>
    <xf numFmtId="0" fontId="3" fillId="5" borderId="7" xfId="0" applyFont="1" applyFill="1" applyBorder="1"/>
    <xf numFmtId="0" fontId="3" fillId="5" borderId="8" xfId="0" applyNumberFormat="1" applyFont="1" applyFill="1" applyBorder="1"/>
    <xf numFmtId="0" fontId="3" fillId="5" borderId="9" xfId="0" applyNumberFormat="1" applyFont="1" applyFill="1" applyBorder="1"/>
    <xf numFmtId="14" fontId="3" fillId="5" borderId="9" xfId="0" applyNumberFormat="1" applyFont="1" applyFill="1" applyBorder="1"/>
    <xf numFmtId="0" fontId="3" fillId="5" borderId="9" xfId="0" applyFont="1" applyFill="1" applyBorder="1"/>
    <xf numFmtId="0" fontId="3" fillId="5" borderId="10" xfId="0" applyFont="1" applyFill="1" applyBorder="1"/>
    <xf numFmtId="0" fontId="5" fillId="5" borderId="3" xfId="0" applyFont="1" applyFill="1" applyBorder="1"/>
    <xf numFmtId="0" fontId="5" fillId="5" borderId="4" xfId="0" applyFont="1" applyFill="1" applyBorder="1"/>
    <xf numFmtId="0" fontId="5" fillId="5" borderId="5" xfId="0" applyFont="1" applyFill="1" applyBorder="1"/>
  </cellXfs>
  <cellStyles count="3">
    <cellStyle name="Comma" xfId="1" builtinId="3"/>
    <cellStyle name="Normal" xfId="0" builtinId="0"/>
    <cellStyle name="Percent" xfId="2" builtinId="5"/>
  </cellStyles>
  <dxfs count="40">
    <dxf>
      <font>
        <strike val="0"/>
        <outline val="0"/>
        <shadow val="0"/>
        <u val="none"/>
        <vertAlign val="baseline"/>
        <sz val="11"/>
        <color theme="0"/>
        <name val="Calibri"/>
        <family val="2"/>
        <scheme val="minor"/>
      </font>
      <fill>
        <patternFill patternType="solid">
          <fgColor indexed="64"/>
          <bgColor rgb="FF091A2C"/>
        </patternFill>
      </fill>
      <border diagonalUp="0" diagonalDown="0" outline="0">
        <left style="thin">
          <color rgb="FF3D8ED9"/>
        </left>
        <right/>
        <top style="thin">
          <color rgb="FF3D8ED9"/>
        </top>
        <bottom style="thin">
          <color rgb="FF3D8ED9"/>
        </bottom>
      </border>
    </dxf>
    <dxf>
      <font>
        <strike val="0"/>
        <outline val="0"/>
        <shadow val="0"/>
        <u val="none"/>
        <vertAlign val="baseline"/>
        <sz val="11"/>
        <color theme="0"/>
        <name val="Calibri"/>
        <family val="2"/>
        <scheme val="minor"/>
      </font>
      <numFmt numFmtId="0" formatCode="General"/>
      <fill>
        <patternFill patternType="solid">
          <fgColor indexed="64"/>
          <bgColor rgb="FF091A2C"/>
        </patternFill>
      </fill>
      <border diagonalUp="0" diagonalDown="0" outline="0">
        <left style="thin">
          <color rgb="FF3D8ED9"/>
        </left>
        <right style="thin">
          <color rgb="FF3D8ED9"/>
        </right>
        <top style="thin">
          <color rgb="FF3D8ED9"/>
        </top>
        <bottom style="thin">
          <color rgb="FF3D8ED9"/>
        </bottom>
      </border>
    </dxf>
    <dxf>
      <font>
        <strike val="0"/>
        <outline val="0"/>
        <shadow val="0"/>
        <u val="none"/>
        <vertAlign val="baseline"/>
        <sz val="11"/>
        <color theme="0"/>
        <name val="Calibri"/>
        <family val="2"/>
        <scheme val="minor"/>
      </font>
      <numFmt numFmtId="0" formatCode="General"/>
      <fill>
        <patternFill patternType="solid">
          <fgColor indexed="64"/>
          <bgColor rgb="FF091A2C"/>
        </patternFill>
      </fill>
      <border diagonalUp="0" diagonalDown="0" outline="0">
        <left style="thin">
          <color rgb="FF3D8ED9"/>
        </left>
        <right style="thin">
          <color rgb="FF3D8ED9"/>
        </right>
        <top style="thin">
          <color rgb="FF3D8ED9"/>
        </top>
        <bottom style="thin">
          <color rgb="FF3D8ED9"/>
        </bottom>
      </border>
    </dxf>
    <dxf>
      <font>
        <strike val="0"/>
        <outline val="0"/>
        <shadow val="0"/>
        <u val="none"/>
        <vertAlign val="baseline"/>
        <sz val="11"/>
        <color theme="0"/>
        <name val="Calibri"/>
        <family val="2"/>
        <scheme val="minor"/>
      </font>
      <numFmt numFmtId="0" formatCode="General"/>
      <fill>
        <patternFill patternType="solid">
          <fgColor indexed="64"/>
          <bgColor rgb="FF091A2C"/>
        </patternFill>
      </fill>
      <border diagonalUp="0" diagonalDown="0" outline="0">
        <left style="thin">
          <color rgb="FF3D8ED9"/>
        </left>
        <right style="thin">
          <color rgb="FF3D8ED9"/>
        </right>
        <top style="thin">
          <color rgb="FF3D8ED9"/>
        </top>
        <bottom style="thin">
          <color rgb="FF3D8ED9"/>
        </bottom>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outline="0">
        <left style="thin">
          <color rgb="FF3D8ED9"/>
        </left>
        <right style="thin">
          <color rgb="FF3D8ED9"/>
        </right>
        <top style="thin">
          <color rgb="FF3D8ED9"/>
        </top>
        <bottom style="thin">
          <color rgb="FF3D8ED9"/>
        </bottom>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outline="0">
        <left style="thin">
          <color rgb="FF3D8ED9"/>
        </left>
        <right style="thin">
          <color rgb="FF3D8ED9"/>
        </right>
        <top style="thin">
          <color rgb="FF3D8ED9"/>
        </top>
        <bottom style="thin">
          <color rgb="FF3D8ED9"/>
        </bottom>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outline="0">
        <left style="thin">
          <color rgb="FF3D8ED9"/>
        </left>
        <right style="thin">
          <color rgb="FF3D8ED9"/>
        </right>
        <top style="thin">
          <color rgb="FF3D8ED9"/>
        </top>
        <bottom style="thin">
          <color rgb="FF3D8ED9"/>
        </bottom>
      </border>
    </dxf>
    <dxf>
      <font>
        <strike val="0"/>
        <outline val="0"/>
        <shadow val="0"/>
        <u val="none"/>
        <vertAlign val="baseline"/>
        <sz val="11"/>
        <color theme="0"/>
        <name val="Calibri"/>
        <family val="2"/>
        <scheme val="minor"/>
      </font>
      <numFmt numFmtId="19" formatCode="m/d/yyyy"/>
      <fill>
        <patternFill patternType="solid">
          <fgColor indexed="64"/>
          <bgColor rgb="FF091A2C"/>
        </patternFill>
      </fill>
      <border diagonalUp="0" diagonalDown="0" outline="0">
        <left style="thin">
          <color rgb="FF3D8ED9"/>
        </left>
        <right style="thin">
          <color rgb="FF3D8ED9"/>
        </right>
        <top style="thin">
          <color rgb="FF3D8ED9"/>
        </top>
        <bottom style="thin">
          <color rgb="FF3D8ED9"/>
        </bottom>
      </border>
    </dxf>
    <dxf>
      <font>
        <strike val="0"/>
        <outline val="0"/>
        <shadow val="0"/>
        <u val="none"/>
        <vertAlign val="baseline"/>
        <sz val="11"/>
        <color theme="0"/>
        <name val="Calibri"/>
        <family val="2"/>
        <scheme val="minor"/>
      </font>
      <numFmt numFmtId="19" formatCode="m/d/yyyy"/>
      <fill>
        <patternFill patternType="solid">
          <fgColor indexed="64"/>
          <bgColor rgb="FF091A2C"/>
        </patternFill>
      </fill>
      <border diagonalUp="0" diagonalDown="0" outline="0">
        <left style="thin">
          <color rgb="FF3D8ED9"/>
        </left>
        <right style="thin">
          <color rgb="FF3D8ED9"/>
        </right>
        <top style="thin">
          <color rgb="FF3D8ED9"/>
        </top>
        <bottom style="thin">
          <color rgb="FF3D8ED9"/>
        </bottom>
      </border>
    </dxf>
    <dxf>
      <font>
        <strike val="0"/>
        <outline val="0"/>
        <shadow val="0"/>
        <u val="none"/>
        <vertAlign val="baseline"/>
        <sz val="11"/>
        <color theme="0"/>
        <name val="Calibri"/>
        <family val="2"/>
        <scheme val="minor"/>
      </font>
      <numFmt numFmtId="19" formatCode="m/d/yyyy"/>
      <fill>
        <patternFill patternType="solid">
          <fgColor indexed="64"/>
          <bgColor rgb="FF091A2C"/>
        </patternFill>
      </fill>
      <border diagonalUp="0" diagonalDown="0" outline="0">
        <left style="thin">
          <color rgb="FF3D8ED9"/>
        </left>
        <right style="thin">
          <color rgb="FF3D8ED9"/>
        </right>
        <top style="thin">
          <color rgb="FF3D8ED9"/>
        </top>
        <bottom style="thin">
          <color rgb="FF3D8ED9"/>
        </bottom>
      </border>
    </dxf>
    <dxf>
      <font>
        <strike val="0"/>
        <outline val="0"/>
        <shadow val="0"/>
        <u val="none"/>
        <vertAlign val="baseline"/>
        <sz val="11"/>
        <color theme="0"/>
        <name val="Calibri"/>
        <family val="2"/>
        <scheme val="minor"/>
      </font>
      <numFmt numFmtId="0" formatCode="General"/>
      <fill>
        <patternFill patternType="solid">
          <fgColor indexed="64"/>
          <bgColor rgb="FF091A2C"/>
        </patternFill>
      </fill>
      <border diagonalUp="0" diagonalDown="0" outline="0">
        <left style="thin">
          <color rgb="FF3D8ED9"/>
        </left>
        <right style="thin">
          <color rgb="FF3D8ED9"/>
        </right>
        <top style="thin">
          <color rgb="FF3D8ED9"/>
        </top>
        <bottom style="thin">
          <color rgb="FF3D8ED9"/>
        </bottom>
      </border>
    </dxf>
    <dxf>
      <font>
        <strike val="0"/>
        <outline val="0"/>
        <shadow val="0"/>
        <u val="none"/>
        <vertAlign val="baseline"/>
        <sz val="11"/>
        <color theme="0"/>
        <name val="Calibri"/>
        <family val="2"/>
        <scheme val="minor"/>
      </font>
      <numFmt numFmtId="0" formatCode="General"/>
      <fill>
        <patternFill patternType="solid">
          <fgColor indexed="64"/>
          <bgColor rgb="FF091A2C"/>
        </patternFill>
      </fill>
      <border diagonalUp="0" diagonalDown="0" outline="0">
        <left style="thin">
          <color rgb="FF3D8ED9"/>
        </left>
        <right style="thin">
          <color rgb="FF3D8ED9"/>
        </right>
        <top style="thin">
          <color rgb="FF3D8ED9"/>
        </top>
        <bottom style="thin">
          <color rgb="FF3D8ED9"/>
        </bottom>
      </border>
    </dxf>
    <dxf>
      <font>
        <strike val="0"/>
        <outline val="0"/>
        <shadow val="0"/>
        <u val="none"/>
        <vertAlign val="baseline"/>
        <sz val="11"/>
        <color theme="0"/>
        <name val="Calibri"/>
        <family val="2"/>
        <scheme val="minor"/>
      </font>
      <numFmt numFmtId="0" formatCode="General"/>
      <fill>
        <patternFill patternType="solid">
          <fgColor indexed="64"/>
          <bgColor rgb="FF091A2C"/>
        </patternFill>
      </fill>
      <border diagonalUp="0" diagonalDown="0" outline="0">
        <left style="thin">
          <color rgb="FF3D8ED9"/>
        </left>
        <right style="thin">
          <color rgb="FF3D8ED9"/>
        </right>
        <top style="thin">
          <color rgb="FF3D8ED9"/>
        </top>
        <bottom style="thin">
          <color rgb="FF3D8ED9"/>
        </bottom>
      </border>
    </dxf>
    <dxf>
      <font>
        <strike val="0"/>
        <outline val="0"/>
        <shadow val="0"/>
        <u val="none"/>
        <vertAlign val="baseline"/>
        <sz val="11"/>
        <color theme="0"/>
        <name val="Calibri"/>
        <family val="2"/>
        <scheme val="minor"/>
      </font>
      <numFmt numFmtId="0" formatCode="General"/>
      <fill>
        <patternFill patternType="solid">
          <fgColor indexed="64"/>
          <bgColor rgb="FF091A2C"/>
        </patternFill>
      </fill>
      <border diagonalUp="0" diagonalDown="0" outline="0">
        <left style="thin">
          <color rgb="FF3D8ED9"/>
        </left>
        <right style="thin">
          <color rgb="FF3D8ED9"/>
        </right>
        <top style="thin">
          <color rgb="FF3D8ED9"/>
        </top>
        <bottom style="thin">
          <color rgb="FF3D8ED9"/>
        </bottom>
      </border>
    </dxf>
    <dxf>
      <font>
        <strike val="0"/>
        <outline val="0"/>
        <shadow val="0"/>
        <u val="none"/>
        <vertAlign val="baseline"/>
        <sz val="11"/>
        <color theme="0"/>
        <name val="Calibri"/>
        <family val="2"/>
        <scheme val="minor"/>
      </font>
      <numFmt numFmtId="0" formatCode="General"/>
      <fill>
        <patternFill patternType="solid">
          <fgColor indexed="64"/>
          <bgColor rgb="FF091A2C"/>
        </patternFill>
      </fill>
      <border diagonalUp="0" diagonalDown="0" outline="0">
        <left/>
        <right style="thin">
          <color rgb="FF3D8ED9"/>
        </right>
        <top style="thin">
          <color rgb="FF3D8ED9"/>
        </top>
        <bottom style="thin">
          <color rgb="FF3D8ED9"/>
        </bottom>
      </border>
    </dxf>
    <dxf>
      <border>
        <top style="thin">
          <color rgb="FF3D8ED9"/>
        </top>
      </border>
    </dxf>
    <dxf>
      <border diagonalUp="0" diagonalDown="0">
        <left style="thin">
          <color rgb="FF3D8ED9"/>
        </left>
        <right style="thin">
          <color rgb="FF3D8ED9"/>
        </right>
        <top style="thin">
          <color rgb="FF3D8ED9"/>
        </top>
        <bottom style="thin">
          <color rgb="FF3D8ED9"/>
        </bottom>
      </border>
    </dxf>
    <dxf>
      <font>
        <strike val="0"/>
        <outline val="0"/>
        <shadow val="0"/>
        <u val="none"/>
        <vertAlign val="baseline"/>
        <sz val="11"/>
        <color theme="0"/>
        <name val="Calibri"/>
        <family val="2"/>
        <scheme val="minor"/>
      </font>
      <fill>
        <patternFill patternType="solid">
          <fgColor indexed="64"/>
          <bgColor rgb="FF091A2C"/>
        </patternFill>
      </fill>
    </dxf>
    <dxf>
      <border>
        <bottom style="thin">
          <color rgb="FF3D8ED9"/>
        </bottom>
      </border>
    </dxf>
    <dxf>
      <font>
        <strike val="0"/>
        <outline val="0"/>
        <shadow val="0"/>
        <u val="none"/>
        <vertAlign val="baseline"/>
        <sz val="11"/>
        <color rgb="FFFFE699"/>
        <name val="Calibri"/>
        <family val="2"/>
        <scheme val="minor"/>
      </font>
      <fill>
        <patternFill patternType="solid">
          <fgColor indexed="64"/>
          <bgColor rgb="FF091A2C"/>
        </patternFill>
      </fill>
      <border diagonalUp="0" diagonalDown="0" outline="0">
        <left style="thin">
          <color rgb="FF3D8ED9"/>
        </left>
        <right style="thin">
          <color rgb="FF3D8ED9"/>
        </right>
        <top/>
        <bottom/>
      </border>
    </dxf>
    <dxf>
      <font>
        <b/>
        <color theme="1"/>
      </font>
      <border>
        <bottom style="thin">
          <color theme="4"/>
        </bottom>
        <vertical/>
        <horizontal/>
      </border>
    </dxf>
    <dxf>
      <font>
        <color theme="1"/>
      </font>
      <fill>
        <patternFill>
          <bgColor rgb="FFEAF2FA"/>
        </patternFill>
      </fill>
      <border diagonalUp="0" diagonalDown="0">
        <left/>
        <right/>
        <top/>
        <bottom/>
        <vertical/>
        <horizontal/>
      </border>
    </dxf>
    <dxf>
      <font>
        <b/>
        <color theme="1"/>
      </font>
      <border>
        <bottom style="thin">
          <color theme="4"/>
        </bottom>
        <vertical/>
        <horizontal/>
      </border>
    </dxf>
    <dxf>
      <font>
        <color theme="0"/>
      </font>
      <fill>
        <patternFill>
          <bgColor rgb="FFEAF2FA"/>
        </patternFill>
      </fill>
      <border diagonalUp="0" diagonalDown="0">
        <left/>
        <right/>
        <top/>
        <bottom/>
        <vertical/>
        <horizontal/>
      </border>
    </dxf>
    <dxf>
      <font>
        <b/>
        <color theme="1"/>
      </font>
      <border>
        <bottom style="thin">
          <color theme="4"/>
        </bottom>
        <vertical/>
        <horizontal/>
      </border>
    </dxf>
    <dxf>
      <font>
        <color theme="0"/>
      </font>
      <fill>
        <patternFill>
          <bgColor rgb="FFEAF2FA"/>
        </patternFill>
      </fill>
      <border diagonalUp="0" diagonalDown="0">
        <left/>
        <right/>
        <top/>
        <bottom/>
        <vertical/>
        <horizontal/>
      </border>
    </dxf>
    <dxf>
      <font>
        <b/>
        <color theme="1"/>
      </font>
      <border>
        <bottom style="thin">
          <color theme="4"/>
        </bottom>
        <vertical/>
        <horizontal/>
      </border>
    </dxf>
    <dxf>
      <font>
        <color theme="0"/>
      </font>
      <fill>
        <patternFill>
          <bgColor rgb="FFF4F5FC"/>
        </patternFill>
      </fill>
      <border diagonalUp="0" diagonalDown="0">
        <left/>
        <right/>
        <top/>
        <bottom/>
        <vertical/>
        <horizontal/>
      </border>
    </dxf>
    <dxf>
      <font>
        <b/>
        <color theme="1"/>
      </font>
      <border>
        <bottom style="thin">
          <color theme="4"/>
        </bottom>
        <vertical/>
        <horizontal/>
      </border>
    </dxf>
    <dxf>
      <font>
        <color theme="0"/>
      </font>
      <fill>
        <patternFill>
          <bgColor rgb="FFF4F5FC"/>
        </patternFill>
      </fill>
      <border diagonalUp="0" diagonalDown="0">
        <left/>
        <right/>
        <top/>
        <bottom/>
        <vertical/>
        <horizontal/>
      </border>
    </dxf>
    <dxf>
      <font>
        <b/>
        <color theme="1"/>
      </font>
      <border>
        <bottom style="thin">
          <color theme="4"/>
        </bottom>
        <vertical/>
        <horizontal/>
      </border>
    </dxf>
    <dxf>
      <font>
        <color theme="0"/>
      </font>
      <fill>
        <patternFill>
          <bgColor rgb="FFEAF2FA"/>
        </patternFill>
      </fill>
      <border diagonalUp="0" diagonalDown="0">
        <left/>
        <right/>
        <top/>
        <bottom/>
        <vertical/>
        <horizontal/>
      </border>
    </dxf>
    <dxf>
      <font>
        <b/>
        <color theme="1"/>
      </font>
      <border>
        <bottom style="thin">
          <color theme="4"/>
        </bottom>
        <vertical/>
        <horizontal/>
      </border>
    </dxf>
    <dxf>
      <font>
        <color theme="0"/>
      </font>
      <fill>
        <patternFill>
          <bgColor rgb="FFF4F5FC"/>
        </patternFill>
      </fill>
      <border diagonalUp="0" diagonalDown="0">
        <left/>
        <right/>
        <top/>
        <bottom/>
        <vertical/>
        <horizontal/>
      </border>
    </dxf>
    <dxf>
      <font>
        <b/>
        <color theme="1"/>
      </font>
      <border>
        <bottom style="thin">
          <color theme="4"/>
        </bottom>
        <vertical/>
        <horizontal/>
      </border>
    </dxf>
    <dxf>
      <font>
        <color theme="0"/>
      </font>
      <fill>
        <patternFill>
          <bgColor rgb="FFF4F5FC"/>
        </patternFill>
      </fill>
      <border diagonalUp="0" diagonalDown="0">
        <left/>
        <right/>
        <top/>
        <bottom/>
        <vertical/>
        <horizontal/>
      </border>
    </dxf>
    <dxf>
      <font>
        <b/>
        <color theme="1"/>
      </font>
      <border>
        <bottom style="thin">
          <color theme="4"/>
        </bottom>
        <vertical/>
        <horizontal/>
      </border>
    </dxf>
    <dxf>
      <font>
        <color theme="1"/>
      </font>
      <fill>
        <patternFill>
          <bgColor rgb="FF17274B"/>
        </patternFill>
      </fill>
      <border diagonalUp="0" diagonalDown="0">
        <left/>
        <right/>
        <top/>
        <bottom/>
        <vertical/>
        <horizontal/>
      </border>
    </dxf>
    <dxf>
      <font>
        <b/>
        <color theme="1"/>
      </font>
      <border>
        <bottom style="thin">
          <color theme="4"/>
        </bottom>
        <vertical/>
        <horizontal/>
      </border>
    </dxf>
    <dxf>
      <font>
        <color theme="1"/>
      </font>
      <fill>
        <patternFill>
          <bgColor rgb="FF202644"/>
        </patternFill>
      </fill>
      <border diagonalUp="0" diagonalDown="0">
        <left/>
        <right/>
        <top/>
        <bottom/>
        <vertical/>
        <horizontal/>
      </border>
    </dxf>
  </dxfs>
  <tableStyles count="10" defaultTableStyle="TableStyleMedium2" defaultPivotStyle="PivotStyleLight16">
    <tableStyle name="SlicerStyleLight1 2" pivot="0" table="0" count="10" xr9:uid="{934E335E-F8EB-4507-B992-26B628834506}">
      <tableStyleElement type="wholeTable" dxfId="39"/>
      <tableStyleElement type="headerRow" dxfId="38"/>
    </tableStyle>
    <tableStyle name="SlicerStyleLight1 2 2" pivot="0" table="0" count="10" xr9:uid="{3687F56F-ED88-414F-99E8-05787C612089}">
      <tableStyleElement type="wholeTable" dxfId="37"/>
      <tableStyleElement type="headerRow" dxfId="36"/>
    </tableStyle>
    <tableStyle name="SlicerStyleLight1 2 4" pivot="0" table="0" count="10" xr9:uid="{4CA5A90E-AD3E-4C06-A395-15C42733D235}">
      <tableStyleElement type="wholeTable" dxfId="35"/>
      <tableStyleElement type="headerRow" dxfId="34"/>
    </tableStyle>
    <tableStyle name="SlicerStyleLight1 2 4 2" pivot="0" table="0" count="10" xr9:uid="{33AA8058-AFA0-4F54-9C34-052A93C7C5B0}">
      <tableStyleElement type="wholeTable" dxfId="33"/>
      <tableStyleElement type="headerRow" dxfId="32"/>
    </tableStyle>
    <tableStyle name="SlicerStyleLight1 2 4 2 2" pivot="0" table="0" count="10" xr9:uid="{37F23900-AAEB-4A5D-B48B-8700887AC03B}">
      <tableStyleElement type="wholeTable" dxfId="31"/>
      <tableStyleElement type="headerRow" dxfId="30"/>
    </tableStyle>
    <tableStyle name="SlicerStyleLight1 2 4 3" pivot="0" table="0" count="10" xr9:uid="{4CAF9B53-5532-4A9D-9F30-33617EFFF35A}">
      <tableStyleElement type="wholeTable" dxfId="29"/>
      <tableStyleElement type="headerRow" dxfId="28"/>
    </tableStyle>
    <tableStyle name="SlicerStyleLight1 2 4 3 2" pivot="0" table="0" count="10" xr9:uid="{C7D71562-D587-4B2A-9A5D-0AA017C9BF95}">
      <tableStyleElement type="wholeTable" dxfId="27"/>
      <tableStyleElement type="headerRow" dxfId="26"/>
    </tableStyle>
    <tableStyle name="SlicerStyleLight1 2 4 3 4" pivot="0" table="0" count="10" xr9:uid="{3FA1756F-68A5-4B64-B099-DD9B5A07733E}">
      <tableStyleElement type="wholeTable" dxfId="25"/>
      <tableStyleElement type="headerRow" dxfId="24"/>
    </tableStyle>
    <tableStyle name="SlicerStyleLight1 2 4 5" pivot="0" table="0" count="10" xr9:uid="{B6710A3C-707D-41D6-8F5C-F793C362CD2E}">
      <tableStyleElement type="wholeTable" dxfId="23"/>
      <tableStyleElement type="headerRow" dxfId="22"/>
    </tableStyle>
    <tableStyle name="SlicerStyleLight1 2 5" pivot="0" table="0" count="10" xr9:uid="{D5DB42A0-4A90-4E68-A2DD-D79671E8EE72}">
      <tableStyleElement type="wholeTable" dxfId="21"/>
      <tableStyleElement type="headerRow" dxfId="20"/>
    </tableStyle>
  </tableStyles>
  <colors>
    <mruColors>
      <color rgb="FFFFE699"/>
      <color rgb="FF3D8ED9"/>
      <color rgb="FF091A2C"/>
      <color rgb="FF4A659C"/>
      <color rgb="FF01EFFA"/>
      <color rgb="FF5882B3"/>
      <color rgb="FF16BBC9"/>
      <color rgb="FF7C74F5"/>
      <color rgb="FF404040"/>
      <color rgb="FF0077D0"/>
    </mruColors>
  </colors>
  <extLst>
    <ext xmlns:x14="http://schemas.microsoft.com/office/spreadsheetml/2009/9/main" uri="{46F421CA-312F-682f-3DD2-61675219B42D}">
      <x14:dxfs count="80">
        <dxf>
          <font>
            <b/>
            <i val="0"/>
            <color rgb="FF00FFFF"/>
          </font>
          <fill>
            <patternFill patternType="solid">
              <fgColor auto="1"/>
              <bgColor rgb="FF202644"/>
            </patternFill>
          </fill>
          <border diagonalUp="0" diagonalDown="0">
            <left/>
            <right/>
            <top/>
            <bottom/>
            <vertical/>
            <horizontal/>
          </border>
        </dxf>
        <dxf>
          <font>
            <b/>
            <i val="0"/>
            <color rgb="FF00FFFF"/>
          </font>
          <fill>
            <patternFill patternType="solid">
              <fgColor auto="1"/>
              <bgColor rgb="FF202644"/>
            </patternFill>
          </fill>
          <border diagonalUp="0" diagonalDown="0">
            <left/>
            <right/>
            <top/>
            <bottom/>
            <vertical/>
            <horizontal/>
          </border>
        </dxf>
        <dxf>
          <font>
            <b/>
            <i val="0"/>
            <color theme="1"/>
          </font>
          <fill>
            <patternFill patternType="solid">
              <fgColor auto="1"/>
              <bgColor rgb="FFEAF2FA"/>
            </patternFill>
          </fill>
          <border diagonalUp="0" diagonalDown="0">
            <left/>
            <right/>
            <top/>
            <bottom/>
            <vertical/>
            <horizontal/>
          </border>
        </dxf>
        <dxf>
          <font>
            <b/>
            <i val="0"/>
            <color rgb="FF004679"/>
          </font>
          <fill>
            <patternFill patternType="solid">
              <fgColor auto="1"/>
              <bgColor rgb="FFEAF2FA"/>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font>
          <fill>
            <patternFill patternType="solid">
              <fgColor auto="1"/>
              <bgColor rgb="FFEAF2FA"/>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5882B3"/>
          </font>
          <fill>
            <patternFill patternType="solid">
              <fgColor rgb="FFFFFFFF"/>
              <bgColor rgb="FFEAF2FA"/>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1"/>
            <color theme="0"/>
          </font>
          <fill>
            <patternFill patternType="solid">
              <fgColor auto="1"/>
              <bgColor rgb="FF77ABD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1"/>
            <color theme="1"/>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5"/>
            <color rgb="FF000000"/>
          </font>
          <fill>
            <gradientFill degree="90">
              <stop position="0">
                <color rgb="FFF8E162"/>
              </stop>
              <stop position="1">
                <color rgb="FFFCF7E0"/>
              </stop>
            </gradientFill>
          </fill>
          <border diagonalUp="0" diagonalDown="0">
            <left/>
            <right/>
            <top/>
            <bottom/>
            <vertical/>
            <horizontal/>
          </border>
        </dxf>
        <dxf>
          <font>
            <sz val="5"/>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5"/>
            <color theme="0"/>
          </font>
          <fill>
            <patternFill patternType="solid">
              <fgColor auto="1"/>
              <bgColor rgb="FF77ABD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5"/>
            <color theme="1"/>
          </font>
          <fill>
            <patternFill patternType="solid">
              <fgColor rgb="FFFFFFFF"/>
              <bgColor theme="0"/>
            </patternFill>
          </fill>
          <border diagonalUp="0" diagonalDown="0">
            <left/>
            <right/>
            <top/>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diagonalUp="0" diagonalDown="0">
            <left/>
            <right/>
            <top/>
            <bottom/>
            <vertical/>
            <horizontal/>
          </border>
        </dxf>
        <dxf>
          <font>
            <sz val="8"/>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5882B3"/>
              </stop>
              <stop position="1">
                <color rgb="FF7093B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7"/>
            <color theme="1"/>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5"/>
            <color rgb="FF000000"/>
          </font>
          <fill>
            <gradientFill degree="90">
              <stop position="0">
                <color rgb="FFF8E162"/>
              </stop>
              <stop position="1">
                <color rgb="FFFCF7E0"/>
              </stop>
            </gradientFill>
          </fill>
          <border diagonalUp="0" diagonalDown="0">
            <left/>
            <right/>
            <top/>
            <bottom/>
            <vertical/>
            <horizontal/>
          </border>
        </dxf>
        <dxf>
          <font>
            <sz val="5"/>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5"/>
            <color theme="0"/>
          </font>
          <fill>
            <gradientFill degree="90">
              <stop position="0">
                <color rgb="FF5882B3"/>
              </stop>
              <stop position="1">
                <color rgb="FF7093B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5"/>
            <color theme="1"/>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1"/>
            <color theme="0"/>
          </font>
          <fill>
            <gradientFill degree="90">
              <stop position="0">
                <color rgb="FF5882B3"/>
              </stop>
              <stop position="1">
                <color rgb="FF7093B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1"/>
            <color theme="1"/>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1"/>
            <color theme="0"/>
          </font>
          <fill>
            <gradientFill degree="90">
              <stop position="0">
                <color rgb="FF5882B3"/>
              </stop>
              <stop position="1">
                <color rgb="FF7093B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1"/>
            <color theme="1"/>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1"/>
            <color theme="0"/>
          </font>
          <fill>
            <gradientFill degree="90">
              <stop position="0">
                <color rgb="FF5882B3"/>
              </stop>
              <stop position="1">
                <color rgb="FF7093B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1"/>
            <color theme="1"/>
          </font>
          <fill>
            <patternFill patternType="solid">
              <fgColor rgb="FFFFFFFF"/>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0064AB"/>
              </stop>
              <stop position="1">
                <color rgb="FF02BCFA"/>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rgb="FF02BAF8"/>
          </font>
          <fill>
            <patternFill patternType="solid">
              <fgColor rgb="FFFFFFFF"/>
              <bgColor rgb="FF13203F"/>
            </patternFill>
          </fill>
          <border diagonalUp="0" diagonalDown="0">
            <left/>
            <right/>
            <top/>
            <bottom/>
            <vertical/>
            <horizontal/>
          </border>
        </dxf>
        <dxf>
          <font>
            <b/>
            <i val="0"/>
            <color rgb="FF00FFFF"/>
          </font>
          <fill>
            <patternFill patternType="solid">
              <fgColor auto="1"/>
              <bgColor rgb="FF202644"/>
            </patternFill>
          </fill>
          <border diagonalUp="0" diagonalDown="0">
            <left/>
            <right/>
            <top/>
            <bottom/>
            <vertical/>
            <horizontal/>
          </border>
        </dxf>
        <dxf>
          <font>
            <b/>
            <i val="0"/>
            <color rgb="FF00FFFF"/>
          </font>
          <fill>
            <patternFill patternType="solid">
              <fgColor auto="1"/>
              <bgColor rgb="FF202644"/>
            </patternFill>
          </fill>
          <border diagonalUp="0" diagonalDown="0">
            <left/>
            <right/>
            <top/>
            <bottom/>
            <vertical/>
            <horizontal/>
          </border>
        </dxf>
        <dxf>
          <font>
            <b/>
            <i val="0"/>
            <color rgb="FF00FFFF"/>
          </font>
          <fill>
            <patternFill patternType="solid">
              <fgColor auto="1"/>
              <bgColor rgb="FF202644"/>
            </patternFill>
          </fill>
          <border diagonalUp="0" diagonalDown="0">
            <left/>
            <right/>
            <top/>
            <bottom/>
            <vertical/>
            <horizontal/>
          </border>
        </dxf>
        <dxf>
          <font>
            <b/>
            <i val="0"/>
            <color theme="0"/>
          </font>
          <fill>
            <patternFill patternType="solid">
              <fgColor auto="1"/>
              <bgColor rgb="FF202644"/>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00FFFF"/>
          </font>
          <fill>
            <patternFill patternType="solid">
              <fgColor auto="1"/>
              <bgColor rgb="FF202644"/>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5882B3"/>
          </font>
          <fill>
            <patternFill patternType="solid">
              <fgColor rgb="FFFFFFFF"/>
              <bgColor rgb="FF202644"/>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SlicerStyleLight1 2 2">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StyleLight1 2 4">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Light1 2 4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Light1 2 4 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2 4 3">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4 3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4 3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4 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5">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image" Target="../media/image2.png"/></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 b="0" i="0" u="none" strike="noStrike" kern="1200" spc="0" baseline="0">
                <a:solidFill>
                  <a:schemeClr val="tx1">
                    <a:lumMod val="65000"/>
                    <a:lumOff val="35000"/>
                  </a:schemeClr>
                </a:solidFill>
                <a:latin typeface="+mn-lt"/>
                <a:ea typeface="+mn-ea"/>
                <a:cs typeface="+mn-cs"/>
              </a:defRPr>
            </a:pPr>
            <a:r>
              <a:rPr lang="en-US" sz="100"/>
              <a:t> </a:t>
            </a:r>
          </a:p>
        </c:rich>
      </c:tx>
      <c:overlay val="0"/>
      <c:spPr>
        <a:noFill/>
        <a:ln>
          <a:noFill/>
        </a:ln>
        <a:effectLst/>
      </c:spPr>
      <c:txPr>
        <a:bodyPr rot="0" spcFirstLastPara="1" vertOverflow="ellipsis" vert="horz" wrap="square" anchor="ctr" anchorCtr="1"/>
        <a:lstStyle/>
        <a:p>
          <a:pPr>
            <a:defRPr sz="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4"/>
          <c:order val="3"/>
          <c:tx>
            <c:strRef>
              <c:f>Processing!$F$23</c:f>
              <c:strCache>
                <c:ptCount val="1"/>
                <c:pt idx="0">
                  <c:v>2023-Fill</c:v>
                </c:pt>
              </c:strCache>
            </c:strRef>
          </c:tx>
          <c:spPr>
            <a:gradFill flip="none" rotWithShape="1">
              <a:gsLst>
                <a:gs pos="0">
                  <a:srgbClr val="0594FF">
                    <a:alpha val="41000"/>
                  </a:srgbClr>
                </a:gs>
                <a:gs pos="100000">
                  <a:srgbClr val="29A3FF">
                    <a:alpha val="0"/>
                  </a:srgbClr>
                </a:gs>
              </a:gsLst>
              <a:path path="circle">
                <a:fillToRect l="50000" t="50000" r="50000" b="50000"/>
              </a:path>
              <a:tileRect/>
            </a:gradFill>
            <a:ln w="25400">
              <a:noFill/>
            </a:ln>
            <a:effectLst/>
          </c:spPr>
          <c:val>
            <c:numRef>
              <c:f>Processing!$F$24:$F$35</c:f>
              <c:numCache>
                <c:formatCode>[&gt;=1000000]0,,"M";[&gt;=1000]0,"K";0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0-3D9E-436A-AA7B-DEBDC9A32745}"/>
            </c:ext>
          </c:extLst>
        </c:ser>
        <c:dLbls>
          <c:showLegendKey val="0"/>
          <c:showVal val="0"/>
          <c:showCatName val="0"/>
          <c:showSerName val="0"/>
          <c:showPercent val="0"/>
          <c:showBubbleSize val="0"/>
        </c:dLbls>
        <c:axId val="1042408176"/>
        <c:axId val="1042408656"/>
      </c:areaChart>
      <c:barChart>
        <c:barDir val="col"/>
        <c:grouping val="clustered"/>
        <c:varyColors val="0"/>
        <c:ser>
          <c:idx val="3"/>
          <c:order val="2"/>
          <c:tx>
            <c:strRef>
              <c:f>Processing!$E$23</c:f>
              <c:strCache>
                <c:ptCount val="1"/>
                <c:pt idx="0">
                  <c:v>indent</c:v>
                </c:pt>
              </c:strCache>
            </c:strRef>
          </c:tx>
          <c:spPr>
            <a:solidFill>
              <a:srgbClr val="01EFFA">
                <a:alpha val="33000"/>
              </a:srgbClr>
            </a:solidFill>
            <a:ln>
              <a:solidFill>
                <a:srgbClr val="01EFFA"/>
              </a:solidFill>
            </a:ln>
            <a:effectLst>
              <a:outerShdw blurRad="50800" dist="38100" dir="8100000" algn="tr" rotWithShape="0">
                <a:prstClr val="black">
                  <a:alpha val="40000"/>
                </a:prstClr>
              </a:outerShdw>
            </a:effectLst>
          </c:spPr>
          <c:invertIfNegative val="0"/>
          <c:cat>
            <c:strRef>
              <c:f>Processing!$A$24:$A$35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Processing!$E$24:$E$35</c:f>
              <c:numCache>
                <c:formatCode>[&gt;=1000000]0,,"M";[&gt;=1000]0,"K";0</c:formatCode>
                <c:ptCount val="12"/>
                <c:pt idx="0">
                  <c:v>#N/A</c:v>
                </c:pt>
                <c:pt idx="1">
                  <c:v>#N/A</c:v>
                </c:pt>
                <c:pt idx="2">
                  <c:v>1345.05</c:v>
                </c:pt>
                <c:pt idx="3">
                  <c:v>966</c:v>
                </c:pt>
                <c:pt idx="4">
                  <c:v>645.75</c:v>
                </c:pt>
                <c:pt idx="5">
                  <c:v>728.7</c:v>
                </c:pt>
                <c:pt idx="6">
                  <c:v>593.25</c:v>
                </c:pt>
                <c:pt idx="7">
                  <c:v>1352.4</c:v>
                </c:pt>
                <c:pt idx="8">
                  <c:v>1531.95</c:v>
                </c:pt>
                <c:pt idx="9">
                  <c:v>1698.9</c:v>
                </c:pt>
                <c:pt idx="10">
                  <c:v>885.15000000000009</c:v>
                </c:pt>
                <c:pt idx="11">
                  <c:v>#N/A</c:v>
                </c:pt>
              </c:numCache>
            </c:numRef>
          </c:val>
          <c:extLst>
            <c:ext xmlns:c16="http://schemas.microsoft.com/office/drawing/2014/chart" uri="{C3380CC4-5D6E-409C-BE32-E72D297353CC}">
              <c16:uniqueId val="{00000001-3D9E-436A-AA7B-DEBDC9A32745}"/>
            </c:ext>
          </c:extLst>
        </c:ser>
        <c:dLbls>
          <c:showLegendKey val="0"/>
          <c:showVal val="0"/>
          <c:showCatName val="0"/>
          <c:showSerName val="0"/>
          <c:showPercent val="0"/>
          <c:showBubbleSize val="0"/>
        </c:dLbls>
        <c:gapWidth val="80"/>
        <c:axId val="1042408176"/>
        <c:axId val="1042408656"/>
      </c:barChart>
      <c:lineChart>
        <c:grouping val="standard"/>
        <c:varyColors val="0"/>
        <c:ser>
          <c:idx val="1"/>
          <c:order val="0"/>
          <c:tx>
            <c:strRef>
              <c:f>Processing!$B$23</c:f>
              <c:strCache>
                <c:ptCount val="1"/>
                <c:pt idx="0">
                  <c:v>2024</c:v>
                </c:pt>
              </c:strCache>
            </c:strRef>
          </c:tx>
          <c:spPr>
            <a:ln w="25400" cap="rnd">
              <a:solidFill>
                <a:srgbClr val="01EFFA"/>
              </a:solidFill>
              <a:round/>
            </a:ln>
            <a:effectLst>
              <a:outerShdw blurRad="50800" dist="38100" dir="2700000" algn="tl" rotWithShape="0">
                <a:prstClr val="black">
                  <a:alpha val="40000"/>
                </a:prstClr>
              </a:outerShdw>
            </a:effectLst>
          </c:spPr>
          <c:marker>
            <c:symbol val="none"/>
          </c:marker>
          <c:cat>
            <c:strRef>
              <c:f>Processing!$A$24:$A$35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Processing!$B$24:$B$35</c:f>
              <c:numCache>
                <c:formatCode>[&gt;=1000000]0,,"M";[&gt;=1000]0,"K";0</c:formatCode>
                <c:ptCount val="12"/>
                <c:pt idx="0">
                  <c:v>952</c:v>
                </c:pt>
                <c:pt idx="1">
                  <c:v>1091</c:v>
                </c:pt>
                <c:pt idx="2">
                  <c:v>1281</c:v>
                </c:pt>
                <c:pt idx="3">
                  <c:v>920</c:v>
                </c:pt>
                <c:pt idx="4">
                  <c:v>615</c:v>
                </c:pt>
                <c:pt idx="5">
                  <c:v>694</c:v>
                </c:pt>
                <c:pt idx="6">
                  <c:v>565</c:v>
                </c:pt>
                <c:pt idx="7">
                  <c:v>1288</c:v>
                </c:pt>
                <c:pt idx="8">
                  <c:v>1459</c:v>
                </c:pt>
                <c:pt idx="9">
                  <c:v>1618</c:v>
                </c:pt>
                <c:pt idx="10">
                  <c:v>843</c:v>
                </c:pt>
                <c:pt idx="11">
                  <c:v>657</c:v>
                </c:pt>
              </c:numCache>
            </c:numRef>
          </c:val>
          <c:smooth val="1"/>
          <c:extLst>
            <c:ext xmlns:c16="http://schemas.microsoft.com/office/drawing/2014/chart" uri="{C3380CC4-5D6E-409C-BE32-E72D297353CC}">
              <c16:uniqueId val="{00000002-3D9E-436A-AA7B-DEBDC9A32745}"/>
            </c:ext>
          </c:extLst>
        </c:ser>
        <c:dLbls>
          <c:showLegendKey val="0"/>
          <c:showVal val="0"/>
          <c:showCatName val="0"/>
          <c:showSerName val="0"/>
          <c:showPercent val="0"/>
          <c:showBubbleSize val="0"/>
        </c:dLbls>
        <c:marker val="1"/>
        <c:smooth val="0"/>
        <c:axId val="1042408176"/>
        <c:axId val="1042408656"/>
      </c:lineChart>
      <c:scatterChart>
        <c:scatterStyle val="lineMarker"/>
        <c:varyColors val="0"/>
        <c:ser>
          <c:idx val="2"/>
          <c:order val="1"/>
          <c:tx>
            <c:strRef>
              <c:f>Processing!$C$23</c:f>
              <c:strCache>
                <c:ptCount val="1"/>
                <c:pt idx="0">
                  <c:v>Cursor 2024</c:v>
                </c:pt>
              </c:strCache>
            </c:strRef>
          </c:tx>
          <c:spPr>
            <a:ln w="25400" cap="rnd">
              <a:noFill/>
              <a:round/>
            </a:ln>
            <a:effectLst>
              <a:outerShdw blurRad="50800" dist="38100" dir="5400000" algn="t" rotWithShape="0">
                <a:prstClr val="black">
                  <a:alpha val="40000"/>
                </a:prstClr>
              </a:outerShdw>
            </a:effectLst>
          </c:spPr>
          <c:marker>
            <c:symbol val="circle"/>
            <c:size val="8"/>
            <c:spPr>
              <a:solidFill>
                <a:srgbClr val="01EFFA"/>
              </a:solidFill>
              <a:ln w="12700">
                <a:solidFill>
                  <a:schemeClr val="bg1"/>
                </a:solidFill>
              </a:ln>
              <a:effectLst>
                <a:outerShdw blurRad="50800" dist="38100" dir="5400000" algn="t" rotWithShape="0">
                  <a:prstClr val="black">
                    <a:alpha val="40000"/>
                  </a:prstClr>
                </a:outerShdw>
              </a:effectLst>
            </c:spPr>
          </c:marker>
          <c:dLbls>
            <c:spPr>
              <a:solidFill>
                <a:srgbClr val="0594FF">
                  <a:alpha val="27000"/>
                </a:srgbClr>
              </a:solidFill>
              <a:ln>
                <a:solidFill>
                  <a:srgbClr val="3FADFF">
                    <a:alpha val="65000"/>
                  </a:srgbClr>
                </a:solidFill>
              </a:ln>
              <a:effectLst>
                <a:outerShdw blurRad="50800" dist="38100" dir="8100000" algn="tr"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xVal>
            <c:strRef>
              <c:f>Processing!$A$24:$A$35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Processing!$C$24:$C$35</c:f>
              <c:numCache>
                <c:formatCode>[&gt;=1000000]0,,"M";[&gt;=1000]0,"K";0</c:formatCode>
                <c:ptCount val="12"/>
                <c:pt idx="0">
                  <c:v>#N/A</c:v>
                </c:pt>
                <c:pt idx="1">
                  <c:v>#N/A</c:v>
                </c:pt>
                <c:pt idx="2">
                  <c:v>1281</c:v>
                </c:pt>
                <c:pt idx="3">
                  <c:v>920</c:v>
                </c:pt>
                <c:pt idx="4">
                  <c:v>615</c:v>
                </c:pt>
                <c:pt idx="5">
                  <c:v>694</c:v>
                </c:pt>
                <c:pt idx="6">
                  <c:v>565</c:v>
                </c:pt>
                <c:pt idx="7">
                  <c:v>1288</c:v>
                </c:pt>
                <c:pt idx="8">
                  <c:v>1459</c:v>
                </c:pt>
                <c:pt idx="9">
                  <c:v>1618</c:v>
                </c:pt>
                <c:pt idx="10">
                  <c:v>843</c:v>
                </c:pt>
                <c:pt idx="11">
                  <c:v>#N/A</c:v>
                </c:pt>
              </c:numCache>
            </c:numRef>
          </c:yVal>
          <c:smooth val="0"/>
          <c:extLst>
            <c:ext xmlns:c16="http://schemas.microsoft.com/office/drawing/2014/chart" uri="{C3380CC4-5D6E-409C-BE32-E72D297353CC}">
              <c16:uniqueId val="{00000003-3D9E-436A-AA7B-DEBDC9A32745}"/>
            </c:ext>
          </c:extLst>
        </c:ser>
        <c:ser>
          <c:idx val="0"/>
          <c:order val="4"/>
          <c:tx>
            <c:strRef>
              <c:f>Processing!$D$23</c:f>
              <c:strCache>
                <c:ptCount val="1"/>
                <c:pt idx="0">
                  <c:v>2023</c:v>
                </c:pt>
              </c:strCache>
            </c:strRef>
          </c:tx>
          <c:spPr>
            <a:ln w="22225" cap="rnd">
              <a:solidFill>
                <a:srgbClr val="3FADFF">
                  <a:alpha val="85000"/>
                </a:srgbClr>
              </a:solidFill>
              <a:round/>
            </a:ln>
            <a:effectLst>
              <a:outerShdw blurRad="50800" dist="38100" dir="8100000" algn="tr" rotWithShape="0">
                <a:prstClr val="black">
                  <a:alpha val="40000"/>
                </a:prstClr>
              </a:outerShdw>
            </a:effectLst>
          </c:spPr>
          <c:marker>
            <c:symbol val="none"/>
          </c:marker>
          <c:yVal>
            <c:numRef>
              <c:f>Processing!$D$24:$D$35</c:f>
              <c:numCache>
                <c:formatCode>[&gt;=1000000]0,,"M";[&gt;=1000]0,"K";0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yVal>
          <c:smooth val="1"/>
          <c:extLst>
            <c:ext xmlns:c16="http://schemas.microsoft.com/office/drawing/2014/chart" uri="{C3380CC4-5D6E-409C-BE32-E72D297353CC}">
              <c16:uniqueId val="{00000004-3D9E-436A-AA7B-DEBDC9A32745}"/>
            </c:ext>
          </c:extLst>
        </c:ser>
        <c:dLbls>
          <c:showLegendKey val="0"/>
          <c:showVal val="0"/>
          <c:showCatName val="0"/>
          <c:showSerName val="0"/>
          <c:showPercent val="0"/>
          <c:showBubbleSize val="0"/>
        </c:dLbls>
        <c:axId val="975988096"/>
        <c:axId val="976138816"/>
      </c:scatterChart>
      <c:catAx>
        <c:axId val="1042408176"/>
        <c:scaling>
          <c:orientation val="minMax"/>
        </c:scaling>
        <c:delete val="1"/>
        <c:axPos val="b"/>
        <c:numFmt formatCode="General" sourceLinked="1"/>
        <c:majorTickMark val="none"/>
        <c:minorTickMark val="none"/>
        <c:tickLblPos val="nextTo"/>
        <c:crossAx val="1042408656"/>
        <c:crosses val="autoZero"/>
        <c:auto val="1"/>
        <c:lblAlgn val="ctr"/>
        <c:lblOffset val="100"/>
        <c:noMultiLvlLbl val="0"/>
      </c:catAx>
      <c:valAx>
        <c:axId val="1042408656"/>
        <c:scaling>
          <c:orientation val="minMax"/>
        </c:scaling>
        <c:delete val="0"/>
        <c:axPos val="l"/>
        <c:majorGridlines>
          <c:spPr>
            <a:ln w="9525" cap="flat" cmpd="sng" algn="ctr">
              <a:solidFill>
                <a:srgbClr val="29A3FF">
                  <a:alpha val="20000"/>
                </a:srgb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lumMod val="85000"/>
                  </a:schemeClr>
                </a:solidFill>
                <a:latin typeface="+mn-lt"/>
                <a:ea typeface="+mn-ea"/>
                <a:cs typeface="+mn-cs"/>
              </a:defRPr>
            </a:pPr>
            <a:endParaRPr lang="en-US"/>
          </a:p>
        </c:txPr>
        <c:crossAx val="1042408176"/>
        <c:crosses val="autoZero"/>
        <c:crossBetween val="between"/>
      </c:valAx>
      <c:valAx>
        <c:axId val="976138816"/>
        <c:scaling>
          <c:orientation val="minMax"/>
        </c:scaling>
        <c:delete val="1"/>
        <c:axPos val="r"/>
        <c:numFmt formatCode="[&gt;=1000000]0,,&quot;M&quot;;[&gt;=1000]0,&quot;K&quot;;0" sourceLinked="1"/>
        <c:majorTickMark val="out"/>
        <c:minorTickMark val="none"/>
        <c:tickLblPos val="nextTo"/>
        <c:crossAx val="975988096"/>
        <c:crosses val="max"/>
        <c:crossBetween val="midCat"/>
      </c:valAx>
      <c:valAx>
        <c:axId val="975988096"/>
        <c:scaling>
          <c:orientation val="minMax"/>
        </c:scaling>
        <c:delete val="1"/>
        <c:axPos val="b"/>
        <c:majorTickMark val="out"/>
        <c:minorTickMark val="none"/>
        <c:tickLblPos val="nextTo"/>
        <c:crossAx val="9761388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Processing!$D$20</c:f>
              <c:numCache>
                <c:formatCode>General</c:formatCode>
                <c:ptCount val="1"/>
                <c:pt idx="0">
                  <c:v>1</c:v>
                </c:pt>
              </c:numCache>
            </c:numRef>
          </c:val>
          <c:extLst>
            <c:ext xmlns:c16="http://schemas.microsoft.com/office/drawing/2014/chart" uri="{C3380CC4-5D6E-409C-BE32-E72D297353CC}">
              <c16:uniqueId val="{00000000-1AAB-4819-BA70-D1C3B7EB6CDE}"/>
            </c:ext>
          </c:extLst>
        </c:ser>
        <c:ser>
          <c:idx val="1"/>
          <c:order val="1"/>
          <c:spPr>
            <a:blipFill>
              <a:blip xmlns:r="http://schemas.openxmlformats.org/officeDocument/2006/relationships" r:embed="rId4"/>
              <a:stretch>
                <a:fillRect/>
              </a:stretch>
            </a:blipFill>
            <a:ln>
              <a:noFill/>
            </a:ln>
            <a:effectLst/>
          </c:spPr>
          <c:invertIfNegative val="0"/>
          <c:val>
            <c:numRef>
              <c:f>Processing!$D$21</c:f>
              <c:numCache>
                <c:formatCode>General</c:formatCode>
                <c:ptCount val="1"/>
                <c:pt idx="0">
                  <c:v>0</c:v>
                </c:pt>
              </c:numCache>
            </c:numRef>
          </c:val>
          <c:extLst>
            <c:ext xmlns:c16="http://schemas.microsoft.com/office/drawing/2014/chart" uri="{C3380CC4-5D6E-409C-BE32-E72D297353CC}">
              <c16:uniqueId val="{00000001-1AAB-4819-BA70-D1C3B7EB6CDE}"/>
            </c:ext>
          </c:extLst>
        </c:ser>
        <c:dLbls>
          <c:showLegendKey val="0"/>
          <c:showVal val="0"/>
          <c:showCatName val="0"/>
          <c:showSerName val="0"/>
          <c:showPercent val="0"/>
          <c:showBubbleSize val="0"/>
        </c:dLbls>
        <c:gapWidth val="0"/>
        <c:overlap val="100"/>
        <c:axId val="1056972400"/>
        <c:axId val="1056958480"/>
      </c:barChart>
      <c:catAx>
        <c:axId val="1056972400"/>
        <c:scaling>
          <c:orientation val="minMax"/>
        </c:scaling>
        <c:delete val="1"/>
        <c:axPos val="l"/>
        <c:majorTickMark val="none"/>
        <c:minorTickMark val="none"/>
        <c:tickLblPos val="nextTo"/>
        <c:crossAx val="1056958480"/>
        <c:crosses val="autoZero"/>
        <c:auto val="1"/>
        <c:lblAlgn val="ctr"/>
        <c:lblOffset val="100"/>
        <c:noMultiLvlLbl val="0"/>
      </c:catAx>
      <c:valAx>
        <c:axId val="1056958480"/>
        <c:scaling>
          <c:orientation val="minMax"/>
          <c:max val="1"/>
          <c:min val="0"/>
        </c:scaling>
        <c:delete val="1"/>
        <c:axPos val="b"/>
        <c:numFmt formatCode="General" sourceLinked="1"/>
        <c:majorTickMark val="none"/>
        <c:minorTickMark val="none"/>
        <c:tickLblPos val="nextTo"/>
        <c:crossAx val="1056972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
                    <a:srgbClr val="98CAE0"/>
                  </a:gs>
                  <a:gs pos="70000">
                    <a:srgbClr val="4393C5"/>
                  </a:gs>
                </a:gsLst>
                <a:lin ang="2700000" scaled="0"/>
              </a:gradFill>
              <a:ln w="19050">
                <a:noFill/>
              </a:ln>
              <a:effectLst/>
            </c:spPr>
            <c:extLst>
              <c:ext xmlns:c16="http://schemas.microsoft.com/office/drawing/2014/chart" uri="{C3380CC4-5D6E-409C-BE32-E72D297353CC}">
                <c16:uniqueId val="{00000001-C892-440F-92F7-60E94DBF3F93}"/>
              </c:ext>
            </c:extLst>
          </c:dPt>
          <c:dPt>
            <c:idx val="1"/>
            <c:bubble3D val="0"/>
            <c:spPr>
              <a:solidFill>
                <a:srgbClr val="7088A9">
                  <a:alpha val="30000"/>
                </a:srgbClr>
              </a:solidFill>
              <a:ln w="19050">
                <a:noFill/>
              </a:ln>
              <a:effectLst/>
            </c:spPr>
            <c:extLst>
              <c:ext xmlns:c16="http://schemas.microsoft.com/office/drawing/2014/chart" uri="{C3380CC4-5D6E-409C-BE32-E72D297353CC}">
                <c16:uniqueId val="{00000003-C892-440F-92F7-60E94DBF3F93}"/>
              </c:ext>
            </c:extLst>
          </c:dPt>
          <c:dPt>
            <c:idx val="2"/>
            <c:bubble3D val="0"/>
            <c:spPr>
              <a:noFill/>
              <a:ln w="19050">
                <a:noFill/>
              </a:ln>
              <a:effectLst/>
            </c:spPr>
            <c:extLst>
              <c:ext xmlns:c16="http://schemas.microsoft.com/office/drawing/2014/chart" uri="{C3380CC4-5D6E-409C-BE32-E72D297353CC}">
                <c16:uniqueId val="{00000005-C892-440F-92F7-60E94DBF3F93}"/>
              </c:ext>
            </c:extLst>
          </c:dPt>
          <c:val>
            <c:numRef>
              <c:f>Processing!$B$46:$B$48</c:f>
              <c:numCache>
                <c:formatCode>0%</c:formatCode>
                <c:ptCount val="3"/>
                <c:pt idx="0">
                  <c:v>0.51193420416233093</c:v>
                </c:pt>
                <c:pt idx="1">
                  <c:v>0.23806579583766907</c:v>
                </c:pt>
                <c:pt idx="2">
                  <c:v>0.25</c:v>
                </c:pt>
              </c:numCache>
            </c:numRef>
          </c:val>
          <c:extLst>
            <c:ext xmlns:c16="http://schemas.microsoft.com/office/drawing/2014/chart" uri="{C3380CC4-5D6E-409C-BE32-E72D297353CC}">
              <c16:uniqueId val="{00000006-C892-440F-92F7-60E94DBF3F93}"/>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08-C892-440F-92F7-60E94DBF3F93}"/>
              </c:ext>
            </c:extLst>
          </c:dPt>
          <c:dPt>
            <c:idx val="1"/>
            <c:bubble3D val="0"/>
            <c:spPr>
              <a:noFill/>
              <a:ln w="19050">
                <a:noFill/>
              </a:ln>
              <a:effectLst/>
            </c:spPr>
            <c:extLst>
              <c:ext xmlns:c16="http://schemas.microsoft.com/office/drawing/2014/chart" uri="{C3380CC4-5D6E-409C-BE32-E72D297353CC}">
                <c16:uniqueId val="{0000000A-C892-440F-92F7-60E94DBF3F93}"/>
              </c:ext>
            </c:extLst>
          </c:dPt>
          <c:dPt>
            <c:idx val="2"/>
            <c:bubble3D val="0"/>
            <c:spPr>
              <a:noFill/>
              <a:ln w="19050">
                <a:noFill/>
              </a:ln>
              <a:effectLst/>
            </c:spPr>
            <c:extLst>
              <c:ext xmlns:c16="http://schemas.microsoft.com/office/drawing/2014/chart" uri="{C3380CC4-5D6E-409C-BE32-E72D297353CC}">
                <c16:uniqueId val="{0000000C-C892-440F-92F7-60E94DBF3F93}"/>
              </c:ext>
            </c:extLst>
          </c:dPt>
          <c:val>
            <c:numRef>
              <c:f>Processing!$C$46:$C$48</c:f>
              <c:numCache>
                <c:formatCode>0%</c:formatCode>
                <c:ptCount val="3"/>
                <c:pt idx="0">
                  <c:v>0.51193420416233093</c:v>
                </c:pt>
                <c:pt idx="1">
                  <c:v>0.23806579583766907</c:v>
                </c:pt>
                <c:pt idx="2">
                  <c:v>0.25</c:v>
                </c:pt>
              </c:numCache>
            </c:numRef>
          </c:val>
          <c:extLst>
            <c:ext xmlns:c16="http://schemas.microsoft.com/office/drawing/2014/chart" uri="{C3380CC4-5D6E-409C-BE32-E72D297353CC}">
              <c16:uniqueId val="{0000000D-C892-440F-92F7-60E94DBF3F93}"/>
            </c:ext>
          </c:extLst>
        </c:ser>
        <c:ser>
          <c:idx val="2"/>
          <c:order val="2"/>
          <c:spPr>
            <a:ln>
              <a:noFill/>
            </a:ln>
          </c:spPr>
          <c:dPt>
            <c:idx val="0"/>
            <c:bubble3D val="0"/>
            <c:spPr>
              <a:gradFill>
                <a:gsLst>
                  <a:gs pos="10000">
                    <a:srgbClr val="98CAE0"/>
                  </a:gs>
                  <a:gs pos="70000">
                    <a:srgbClr val="4393C5"/>
                  </a:gs>
                </a:gsLst>
                <a:lin ang="2700000" scaled="0"/>
              </a:gradFill>
              <a:ln w="19050">
                <a:noFill/>
              </a:ln>
              <a:effectLst/>
            </c:spPr>
            <c:extLst>
              <c:ext xmlns:c16="http://schemas.microsoft.com/office/drawing/2014/chart" uri="{C3380CC4-5D6E-409C-BE32-E72D297353CC}">
                <c16:uniqueId val="{0000000F-C892-440F-92F7-60E94DBF3F93}"/>
              </c:ext>
            </c:extLst>
          </c:dPt>
          <c:dPt>
            <c:idx val="1"/>
            <c:bubble3D val="0"/>
            <c:spPr>
              <a:solidFill>
                <a:srgbClr val="7088A9">
                  <a:alpha val="30000"/>
                </a:srgbClr>
              </a:solidFill>
              <a:ln w="19050">
                <a:noFill/>
              </a:ln>
              <a:effectLst/>
            </c:spPr>
            <c:extLst>
              <c:ext xmlns:c16="http://schemas.microsoft.com/office/drawing/2014/chart" uri="{C3380CC4-5D6E-409C-BE32-E72D297353CC}">
                <c16:uniqueId val="{00000011-C892-440F-92F7-60E94DBF3F93}"/>
              </c:ext>
            </c:extLst>
          </c:dPt>
          <c:dPt>
            <c:idx val="2"/>
            <c:bubble3D val="0"/>
            <c:spPr>
              <a:noFill/>
              <a:ln w="19050">
                <a:noFill/>
              </a:ln>
              <a:effectLst/>
            </c:spPr>
            <c:extLst>
              <c:ext xmlns:c16="http://schemas.microsoft.com/office/drawing/2014/chart" uri="{C3380CC4-5D6E-409C-BE32-E72D297353CC}">
                <c16:uniqueId val="{00000013-C892-440F-92F7-60E94DBF3F93}"/>
              </c:ext>
            </c:extLst>
          </c:dPt>
          <c:val>
            <c:numRef>
              <c:f>Processing!$D$46:$D$48</c:f>
              <c:numCache>
                <c:formatCode>0%</c:formatCode>
                <c:ptCount val="3"/>
                <c:pt idx="0">
                  <c:v>0.75</c:v>
                </c:pt>
                <c:pt idx="1">
                  <c:v>0</c:v>
                </c:pt>
                <c:pt idx="2">
                  <c:v>0.25</c:v>
                </c:pt>
              </c:numCache>
            </c:numRef>
          </c:val>
          <c:extLst>
            <c:ext xmlns:c16="http://schemas.microsoft.com/office/drawing/2014/chart" uri="{C3380CC4-5D6E-409C-BE32-E72D297353CC}">
              <c16:uniqueId val="{00000014-C892-440F-92F7-60E94DBF3F93}"/>
            </c:ext>
          </c:extLst>
        </c:ser>
        <c:ser>
          <c:idx val="3"/>
          <c:order val="3"/>
          <c:spPr>
            <a:noFill/>
            <a:ln>
              <a:noFill/>
            </a:ln>
          </c:spPr>
          <c:dPt>
            <c:idx val="0"/>
            <c:bubble3D val="0"/>
            <c:spPr>
              <a:noFill/>
              <a:ln w="19050">
                <a:noFill/>
              </a:ln>
              <a:effectLst/>
            </c:spPr>
            <c:extLst>
              <c:ext xmlns:c16="http://schemas.microsoft.com/office/drawing/2014/chart" uri="{C3380CC4-5D6E-409C-BE32-E72D297353CC}">
                <c16:uniqueId val="{00000016-C892-440F-92F7-60E94DBF3F93}"/>
              </c:ext>
            </c:extLst>
          </c:dPt>
          <c:dPt>
            <c:idx val="1"/>
            <c:bubble3D val="0"/>
            <c:spPr>
              <a:noFill/>
              <a:ln w="19050">
                <a:noFill/>
              </a:ln>
              <a:effectLst/>
            </c:spPr>
            <c:extLst>
              <c:ext xmlns:c16="http://schemas.microsoft.com/office/drawing/2014/chart" uri="{C3380CC4-5D6E-409C-BE32-E72D297353CC}">
                <c16:uniqueId val="{00000018-C892-440F-92F7-60E94DBF3F93}"/>
              </c:ext>
            </c:extLst>
          </c:dPt>
          <c:dPt>
            <c:idx val="2"/>
            <c:bubble3D val="0"/>
            <c:spPr>
              <a:noFill/>
              <a:ln w="19050">
                <a:noFill/>
              </a:ln>
              <a:effectLst/>
            </c:spPr>
            <c:extLst>
              <c:ext xmlns:c16="http://schemas.microsoft.com/office/drawing/2014/chart" uri="{C3380CC4-5D6E-409C-BE32-E72D297353CC}">
                <c16:uniqueId val="{0000001A-C892-440F-92F7-60E94DBF3F93}"/>
              </c:ext>
            </c:extLst>
          </c:dPt>
          <c:val>
            <c:numRef>
              <c:f>Processing!$E$46:$E$48</c:f>
              <c:numCache>
                <c:formatCode>0%</c:formatCode>
                <c:ptCount val="3"/>
                <c:pt idx="0">
                  <c:v>0.75</c:v>
                </c:pt>
                <c:pt idx="1">
                  <c:v>0</c:v>
                </c:pt>
                <c:pt idx="2">
                  <c:v>0.25</c:v>
                </c:pt>
              </c:numCache>
            </c:numRef>
          </c:val>
          <c:extLst>
            <c:ext xmlns:c16="http://schemas.microsoft.com/office/drawing/2014/chart" uri="{C3380CC4-5D6E-409C-BE32-E72D297353CC}">
              <c16:uniqueId val="{0000001B-C892-440F-92F7-60E94DBF3F93}"/>
            </c:ext>
          </c:extLst>
        </c:ser>
        <c:ser>
          <c:idx val="4"/>
          <c:order val="4"/>
          <c:spPr>
            <a:ln>
              <a:noFill/>
            </a:ln>
          </c:spPr>
          <c:dPt>
            <c:idx val="0"/>
            <c:bubble3D val="0"/>
            <c:spPr>
              <a:gradFill>
                <a:gsLst>
                  <a:gs pos="10000">
                    <a:srgbClr val="98CAE0"/>
                  </a:gs>
                  <a:gs pos="70000">
                    <a:srgbClr val="4393C5"/>
                  </a:gs>
                </a:gsLst>
                <a:lin ang="2700000" scaled="0"/>
              </a:gradFill>
              <a:ln w="19050">
                <a:noFill/>
              </a:ln>
              <a:effectLst/>
            </c:spPr>
            <c:extLst>
              <c:ext xmlns:c16="http://schemas.microsoft.com/office/drawing/2014/chart" uri="{C3380CC4-5D6E-409C-BE32-E72D297353CC}">
                <c16:uniqueId val="{0000001D-C892-440F-92F7-60E94DBF3F93}"/>
              </c:ext>
            </c:extLst>
          </c:dPt>
          <c:dPt>
            <c:idx val="1"/>
            <c:bubble3D val="0"/>
            <c:spPr>
              <a:solidFill>
                <a:srgbClr val="7088A9">
                  <a:alpha val="30000"/>
                </a:srgbClr>
              </a:solidFill>
              <a:ln w="19050">
                <a:noFill/>
              </a:ln>
              <a:effectLst/>
            </c:spPr>
            <c:extLst>
              <c:ext xmlns:c16="http://schemas.microsoft.com/office/drawing/2014/chart" uri="{C3380CC4-5D6E-409C-BE32-E72D297353CC}">
                <c16:uniqueId val="{0000001F-C892-440F-92F7-60E94DBF3F93}"/>
              </c:ext>
            </c:extLst>
          </c:dPt>
          <c:dPt>
            <c:idx val="2"/>
            <c:bubble3D val="0"/>
            <c:spPr>
              <a:noFill/>
              <a:ln w="19050">
                <a:noFill/>
              </a:ln>
              <a:effectLst/>
            </c:spPr>
            <c:extLst>
              <c:ext xmlns:c16="http://schemas.microsoft.com/office/drawing/2014/chart" uri="{C3380CC4-5D6E-409C-BE32-E72D297353CC}">
                <c16:uniqueId val="{00000021-C892-440F-92F7-60E94DBF3F93}"/>
              </c:ext>
            </c:extLst>
          </c:dPt>
          <c:val>
            <c:numRef>
              <c:f>Processing!$F$46:$F$48</c:f>
              <c:numCache>
                <c:formatCode>0%</c:formatCode>
                <c:ptCount val="3"/>
                <c:pt idx="0">
                  <c:v>0.22982094239964496</c:v>
                </c:pt>
                <c:pt idx="1">
                  <c:v>0.5201790576003551</c:v>
                </c:pt>
                <c:pt idx="2">
                  <c:v>0.25</c:v>
                </c:pt>
              </c:numCache>
            </c:numRef>
          </c:val>
          <c:extLst>
            <c:ext xmlns:c16="http://schemas.microsoft.com/office/drawing/2014/chart" uri="{C3380CC4-5D6E-409C-BE32-E72D297353CC}">
              <c16:uniqueId val="{00000022-C892-440F-92F7-60E94DBF3F93}"/>
            </c:ext>
          </c:extLst>
        </c:ser>
        <c:ser>
          <c:idx val="5"/>
          <c:order val="5"/>
          <c:spPr>
            <a:noFill/>
            <a:ln>
              <a:noFill/>
            </a:ln>
          </c:spPr>
          <c:dPt>
            <c:idx val="0"/>
            <c:bubble3D val="0"/>
            <c:spPr>
              <a:noFill/>
              <a:ln w="19050">
                <a:noFill/>
              </a:ln>
              <a:effectLst/>
            </c:spPr>
            <c:extLst>
              <c:ext xmlns:c16="http://schemas.microsoft.com/office/drawing/2014/chart" uri="{C3380CC4-5D6E-409C-BE32-E72D297353CC}">
                <c16:uniqueId val="{00000024-C892-440F-92F7-60E94DBF3F93}"/>
              </c:ext>
            </c:extLst>
          </c:dPt>
          <c:dPt>
            <c:idx val="1"/>
            <c:bubble3D val="0"/>
            <c:spPr>
              <a:noFill/>
              <a:ln w="19050">
                <a:noFill/>
              </a:ln>
              <a:effectLst/>
            </c:spPr>
            <c:extLst>
              <c:ext xmlns:c16="http://schemas.microsoft.com/office/drawing/2014/chart" uri="{C3380CC4-5D6E-409C-BE32-E72D297353CC}">
                <c16:uniqueId val="{00000026-C892-440F-92F7-60E94DBF3F93}"/>
              </c:ext>
            </c:extLst>
          </c:dPt>
          <c:dPt>
            <c:idx val="2"/>
            <c:bubble3D val="0"/>
            <c:spPr>
              <a:noFill/>
              <a:ln w="19050">
                <a:noFill/>
              </a:ln>
              <a:effectLst/>
            </c:spPr>
            <c:extLst>
              <c:ext xmlns:c16="http://schemas.microsoft.com/office/drawing/2014/chart" uri="{C3380CC4-5D6E-409C-BE32-E72D297353CC}">
                <c16:uniqueId val="{00000028-C892-440F-92F7-60E94DBF3F93}"/>
              </c:ext>
            </c:extLst>
          </c:dPt>
          <c:val>
            <c:numRef>
              <c:f>Processing!$G$46:$G$48</c:f>
              <c:numCache>
                <c:formatCode>0%</c:formatCode>
                <c:ptCount val="3"/>
                <c:pt idx="0">
                  <c:v>0.22982094239964496</c:v>
                </c:pt>
                <c:pt idx="1">
                  <c:v>0.5201790576003551</c:v>
                </c:pt>
                <c:pt idx="2">
                  <c:v>0.25</c:v>
                </c:pt>
              </c:numCache>
            </c:numRef>
          </c:val>
          <c:extLst>
            <c:ext xmlns:c16="http://schemas.microsoft.com/office/drawing/2014/chart" uri="{C3380CC4-5D6E-409C-BE32-E72D297353CC}">
              <c16:uniqueId val="{00000029-C892-440F-92F7-60E94DBF3F93}"/>
            </c:ext>
          </c:extLst>
        </c:ser>
        <c:ser>
          <c:idx val="6"/>
          <c:order val="6"/>
          <c:spPr>
            <a:ln>
              <a:noFill/>
            </a:ln>
          </c:spPr>
          <c:dPt>
            <c:idx val="0"/>
            <c:bubble3D val="0"/>
            <c:spPr>
              <a:gradFill>
                <a:gsLst>
                  <a:gs pos="10000">
                    <a:srgbClr val="98CAE0"/>
                  </a:gs>
                  <a:gs pos="70000">
                    <a:srgbClr val="4393C5"/>
                  </a:gs>
                </a:gsLst>
                <a:lin ang="2700000" scaled="0"/>
              </a:gradFill>
              <a:ln w="19050">
                <a:noFill/>
              </a:ln>
              <a:effectLst/>
            </c:spPr>
            <c:extLst>
              <c:ext xmlns:c16="http://schemas.microsoft.com/office/drawing/2014/chart" uri="{C3380CC4-5D6E-409C-BE32-E72D297353CC}">
                <c16:uniqueId val="{0000002B-C892-440F-92F7-60E94DBF3F93}"/>
              </c:ext>
            </c:extLst>
          </c:dPt>
          <c:dPt>
            <c:idx val="1"/>
            <c:bubble3D val="0"/>
            <c:spPr>
              <a:solidFill>
                <a:srgbClr val="7088A9">
                  <a:alpha val="30000"/>
                </a:srgbClr>
              </a:solidFill>
              <a:ln w="19050">
                <a:noFill/>
              </a:ln>
              <a:effectLst/>
            </c:spPr>
            <c:extLst>
              <c:ext xmlns:c16="http://schemas.microsoft.com/office/drawing/2014/chart" uri="{C3380CC4-5D6E-409C-BE32-E72D297353CC}">
                <c16:uniqueId val="{0000002D-C892-440F-92F7-60E94DBF3F93}"/>
              </c:ext>
            </c:extLst>
          </c:dPt>
          <c:dPt>
            <c:idx val="2"/>
            <c:bubble3D val="0"/>
            <c:spPr>
              <a:noFill/>
              <a:ln w="19050">
                <a:noFill/>
              </a:ln>
              <a:effectLst/>
            </c:spPr>
            <c:extLst>
              <c:ext xmlns:c16="http://schemas.microsoft.com/office/drawing/2014/chart" uri="{C3380CC4-5D6E-409C-BE32-E72D297353CC}">
                <c16:uniqueId val="{0000002F-C892-440F-92F7-60E94DBF3F93}"/>
              </c:ext>
            </c:extLst>
          </c:dPt>
          <c:val>
            <c:numRef>
              <c:f>Processing!$H$46:$H$48</c:f>
              <c:numCache>
                <c:formatCode>0%</c:formatCode>
                <c:ptCount val="3"/>
                <c:pt idx="0">
                  <c:v>0.22196770678608813</c:v>
                </c:pt>
                <c:pt idx="1">
                  <c:v>0.52803229321391187</c:v>
                </c:pt>
                <c:pt idx="2">
                  <c:v>0.25</c:v>
                </c:pt>
              </c:numCache>
            </c:numRef>
          </c:val>
          <c:extLst>
            <c:ext xmlns:c16="http://schemas.microsoft.com/office/drawing/2014/chart" uri="{C3380CC4-5D6E-409C-BE32-E72D297353CC}">
              <c16:uniqueId val="{00000030-C892-440F-92F7-60E94DBF3F93}"/>
            </c:ext>
          </c:extLst>
        </c:ser>
        <c:dLbls>
          <c:showLegendKey val="0"/>
          <c:showVal val="0"/>
          <c:showCatName val="0"/>
          <c:showSerName val="0"/>
          <c:showPercent val="0"/>
          <c:showBubbleSize val="0"/>
          <c:showLeaderLines val="1"/>
        </c:dLbls>
        <c:firstSliceAng val="180"/>
        <c:holeSize val="3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7FAAEC"/>
            </a:solidFill>
            <a:ln w="22225">
              <a:solidFill>
                <a:srgbClr val="F4F5FC"/>
              </a:solidFill>
            </a:ln>
            <a:effectLst/>
          </c:spPr>
          <c:invertIfNegative val="0"/>
          <c:val>
            <c:numRef>
              <c:f>Processing!$D$40:$D$43</c:f>
              <c:numCache>
                <c:formatCode>0%</c:formatCode>
                <c:ptCount val="4"/>
                <c:pt idx="0">
                  <c:v>0.29872636824687021</c:v>
                </c:pt>
                <c:pt idx="1">
                  <c:v>0.43764369398163822</c:v>
                </c:pt>
                <c:pt idx="2">
                  <c:v>0.13410624824816256</c:v>
                </c:pt>
                <c:pt idx="3">
                  <c:v>0.12952368952332902</c:v>
                </c:pt>
              </c:numCache>
            </c:numRef>
          </c:val>
          <c:extLst>
            <c:ext xmlns:c16="http://schemas.microsoft.com/office/drawing/2014/chart" uri="{C3380CC4-5D6E-409C-BE32-E72D297353CC}">
              <c16:uniqueId val="{00000000-BB6E-4C69-9FEC-665FE5FD5FC6}"/>
            </c:ext>
          </c:extLst>
        </c:ser>
        <c:ser>
          <c:idx val="1"/>
          <c:order val="1"/>
          <c:spPr>
            <a:solidFill>
              <a:srgbClr val="DDE6F2"/>
            </a:solidFill>
            <a:ln w="22225">
              <a:solidFill>
                <a:srgbClr val="F4F5FC"/>
              </a:solidFill>
            </a:ln>
            <a:effectLst/>
          </c:spPr>
          <c:invertIfNegative val="0"/>
          <c:val>
            <c:numRef>
              <c:f>Processing!$E$40:$E$43</c:f>
              <c:numCache>
                <c:formatCode>0%</c:formatCode>
                <c:ptCount val="4"/>
                <c:pt idx="0">
                  <c:v>0.70127363175312984</c:v>
                </c:pt>
                <c:pt idx="1">
                  <c:v>0.56235630601836184</c:v>
                </c:pt>
                <c:pt idx="2">
                  <c:v>0.86589375175183747</c:v>
                </c:pt>
                <c:pt idx="3">
                  <c:v>0.87047631047667096</c:v>
                </c:pt>
              </c:numCache>
            </c:numRef>
          </c:val>
          <c:extLst>
            <c:ext xmlns:c16="http://schemas.microsoft.com/office/drawing/2014/chart" uri="{C3380CC4-5D6E-409C-BE32-E72D297353CC}">
              <c16:uniqueId val="{00000001-BB6E-4C69-9FEC-665FE5FD5FC6}"/>
            </c:ext>
          </c:extLst>
        </c:ser>
        <c:dLbls>
          <c:showLegendKey val="0"/>
          <c:showVal val="0"/>
          <c:showCatName val="0"/>
          <c:showSerName val="0"/>
          <c:showPercent val="0"/>
          <c:showBubbleSize val="0"/>
        </c:dLbls>
        <c:gapWidth val="500"/>
        <c:overlap val="100"/>
        <c:axId val="1419409936"/>
        <c:axId val="1419429136"/>
      </c:barChart>
      <c:catAx>
        <c:axId val="1419409936"/>
        <c:scaling>
          <c:orientation val="maxMin"/>
        </c:scaling>
        <c:delete val="1"/>
        <c:axPos val="l"/>
        <c:numFmt formatCode="General" sourceLinked="1"/>
        <c:majorTickMark val="out"/>
        <c:minorTickMark val="none"/>
        <c:tickLblPos val="nextTo"/>
        <c:crossAx val="1419429136"/>
        <c:crosses val="autoZero"/>
        <c:auto val="1"/>
        <c:lblAlgn val="ctr"/>
        <c:lblOffset val="100"/>
        <c:noMultiLvlLbl val="0"/>
      </c:catAx>
      <c:valAx>
        <c:axId val="1419429136"/>
        <c:scaling>
          <c:orientation val="minMax"/>
          <c:min val="0"/>
        </c:scaling>
        <c:delete val="1"/>
        <c:axPos val="t"/>
        <c:numFmt formatCode="0%" sourceLinked="1"/>
        <c:majorTickMark val="out"/>
        <c:minorTickMark val="none"/>
        <c:tickLblPos val="nextTo"/>
        <c:crossAx val="1419409936"/>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5882B3"/>
              </a:solidFill>
              <a:ln w="19050">
                <a:noFill/>
              </a:ln>
              <a:effectLst/>
            </c:spPr>
            <c:extLst>
              <c:ext xmlns:c16="http://schemas.microsoft.com/office/drawing/2014/chart" uri="{C3380CC4-5D6E-409C-BE32-E72D297353CC}">
                <c16:uniqueId val="{00000001-CFE0-490E-869F-417E40940604}"/>
              </c:ext>
            </c:extLst>
          </c:dPt>
          <c:dPt>
            <c:idx val="1"/>
            <c:bubble3D val="0"/>
            <c:spPr>
              <a:solidFill>
                <a:srgbClr val="29A3FF"/>
              </a:solidFill>
              <a:ln w="19050">
                <a:noFill/>
              </a:ln>
              <a:effectLst/>
            </c:spPr>
            <c:extLst>
              <c:ext xmlns:c16="http://schemas.microsoft.com/office/drawing/2014/chart" uri="{C3380CC4-5D6E-409C-BE32-E72D297353CC}">
                <c16:uniqueId val="{00000003-CFE0-490E-869F-417E40940604}"/>
              </c:ext>
            </c:extLst>
          </c:dPt>
          <c:dPt>
            <c:idx val="2"/>
            <c:bubble3D val="0"/>
            <c:spPr>
              <a:solidFill>
                <a:srgbClr val="3B435B"/>
              </a:solidFill>
              <a:ln w="19050">
                <a:noFill/>
              </a:ln>
              <a:effectLst/>
            </c:spPr>
            <c:extLst>
              <c:ext xmlns:c16="http://schemas.microsoft.com/office/drawing/2014/chart" uri="{C3380CC4-5D6E-409C-BE32-E72D297353CC}">
                <c16:uniqueId val="{00000005-CFE0-490E-869F-417E40940604}"/>
              </c:ext>
            </c:extLst>
          </c:dPt>
          <c:cat>
            <c:strRef>
              <c:f>Processing!$A$52:$A$54</c:f>
              <c:strCache>
                <c:ptCount val="3"/>
                <c:pt idx="0">
                  <c:v>WH1</c:v>
                </c:pt>
                <c:pt idx="1">
                  <c:v>WH2</c:v>
                </c:pt>
                <c:pt idx="2">
                  <c:v>WH3</c:v>
                </c:pt>
              </c:strCache>
            </c:strRef>
          </c:cat>
          <c:val>
            <c:numRef>
              <c:f>Processing!$B$52:$B$54</c:f>
              <c:numCache>
                <c:formatCode>General</c:formatCode>
                <c:ptCount val="3"/>
                <c:pt idx="0">
                  <c:v>103</c:v>
                </c:pt>
                <c:pt idx="1">
                  <c:v>35</c:v>
                </c:pt>
                <c:pt idx="2">
                  <c:v>58</c:v>
                </c:pt>
              </c:numCache>
            </c:numRef>
          </c:val>
          <c:extLst>
            <c:ext xmlns:c16="http://schemas.microsoft.com/office/drawing/2014/chart" uri="{C3380CC4-5D6E-409C-BE32-E72D297353CC}">
              <c16:uniqueId val="{00000006-CFE0-490E-869F-417E40940604}"/>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08-CFE0-490E-869F-417E40940604}"/>
              </c:ext>
            </c:extLst>
          </c:dPt>
          <c:dPt>
            <c:idx val="1"/>
            <c:bubble3D val="0"/>
            <c:spPr>
              <a:noFill/>
              <a:ln w="19050">
                <a:noFill/>
              </a:ln>
              <a:effectLst/>
            </c:spPr>
            <c:extLst>
              <c:ext xmlns:c16="http://schemas.microsoft.com/office/drawing/2014/chart" uri="{C3380CC4-5D6E-409C-BE32-E72D297353CC}">
                <c16:uniqueId val="{0000000A-CFE0-490E-869F-417E40940604}"/>
              </c:ext>
            </c:extLst>
          </c:dPt>
          <c:dPt>
            <c:idx val="2"/>
            <c:bubble3D val="0"/>
            <c:spPr>
              <a:noFill/>
              <a:ln w="19050">
                <a:noFill/>
              </a:ln>
              <a:effectLst/>
            </c:spPr>
            <c:extLst>
              <c:ext xmlns:c16="http://schemas.microsoft.com/office/drawing/2014/chart" uri="{C3380CC4-5D6E-409C-BE32-E72D297353CC}">
                <c16:uniqueId val="{0000000C-CFE0-490E-869F-417E40940604}"/>
              </c:ext>
            </c:extLst>
          </c:dPt>
          <c:cat>
            <c:strRef>
              <c:f>Processing!$A$52:$A$54</c:f>
              <c:strCache>
                <c:ptCount val="3"/>
                <c:pt idx="0">
                  <c:v>WH1</c:v>
                </c:pt>
                <c:pt idx="1">
                  <c:v>WH2</c:v>
                </c:pt>
                <c:pt idx="2">
                  <c:v>WH3</c:v>
                </c:pt>
              </c:strCache>
            </c:strRef>
          </c:cat>
          <c:val>
            <c:numRef>
              <c:f>Processing!$C$52:$C$54</c:f>
              <c:numCache>
                <c:formatCode>General</c:formatCode>
                <c:ptCount val="3"/>
                <c:pt idx="0">
                  <c:v>103</c:v>
                </c:pt>
                <c:pt idx="1">
                  <c:v>35</c:v>
                </c:pt>
                <c:pt idx="2">
                  <c:v>58</c:v>
                </c:pt>
              </c:numCache>
            </c:numRef>
          </c:val>
          <c:extLst>
            <c:ext xmlns:c16="http://schemas.microsoft.com/office/drawing/2014/chart" uri="{C3380CC4-5D6E-409C-BE32-E72D297353CC}">
              <c16:uniqueId val="{0000000D-CFE0-490E-869F-417E40940604}"/>
            </c:ext>
          </c:extLst>
        </c:ser>
        <c:dLbls>
          <c:showLegendKey val="0"/>
          <c:showVal val="0"/>
          <c:showCatName val="0"/>
          <c:showSerName val="0"/>
          <c:showPercent val="0"/>
          <c:showBubbleSize val="0"/>
          <c:showLeaderLines val="1"/>
        </c:dLbls>
        <c:firstSliceAng val="180"/>
        <c:holeSize val="50"/>
      </c:doughnutChart>
      <c:doughnutChart>
        <c:varyColors val="1"/>
        <c:ser>
          <c:idx val="2"/>
          <c:order val="2"/>
          <c:spPr>
            <a:ln>
              <a:noFill/>
            </a:ln>
          </c:spPr>
          <c:dPt>
            <c:idx val="0"/>
            <c:bubble3D val="0"/>
            <c:spPr>
              <a:noFill/>
              <a:ln w="19050">
                <a:noFill/>
              </a:ln>
              <a:effectLst/>
            </c:spPr>
            <c:extLst>
              <c:ext xmlns:c16="http://schemas.microsoft.com/office/drawing/2014/chart" uri="{C3380CC4-5D6E-409C-BE32-E72D297353CC}">
                <c16:uniqueId val="{0000000F-CFE0-490E-869F-417E40940604}"/>
              </c:ext>
            </c:extLst>
          </c:dPt>
          <c:dPt>
            <c:idx val="1"/>
            <c:bubble3D val="0"/>
            <c:spPr>
              <a:solidFill>
                <a:srgbClr val="5882B3"/>
              </a:solidFill>
              <a:ln w="19050">
                <a:noFill/>
              </a:ln>
              <a:effectLst/>
            </c:spPr>
            <c:extLst>
              <c:ext xmlns:c16="http://schemas.microsoft.com/office/drawing/2014/chart" uri="{C3380CC4-5D6E-409C-BE32-E72D297353CC}">
                <c16:uniqueId val="{00000011-CFE0-490E-869F-417E40940604}"/>
              </c:ext>
            </c:extLst>
          </c:dPt>
          <c:dPt>
            <c:idx val="2"/>
            <c:bubble3D val="0"/>
            <c:spPr>
              <a:solidFill>
                <a:srgbClr val="29A3FF"/>
              </a:solidFill>
              <a:ln w="19050">
                <a:noFill/>
              </a:ln>
              <a:effectLst/>
            </c:spPr>
            <c:extLst>
              <c:ext xmlns:c16="http://schemas.microsoft.com/office/drawing/2014/chart" uri="{C3380CC4-5D6E-409C-BE32-E72D297353CC}">
                <c16:uniqueId val="{00000013-CFE0-490E-869F-417E40940604}"/>
              </c:ext>
            </c:extLst>
          </c:dPt>
          <c:dPt>
            <c:idx val="3"/>
            <c:bubble3D val="0"/>
            <c:spPr>
              <a:solidFill>
                <a:srgbClr val="3B435B"/>
              </a:solidFill>
              <a:ln w="19050">
                <a:noFill/>
              </a:ln>
              <a:effectLst/>
            </c:spPr>
            <c:extLst>
              <c:ext xmlns:c16="http://schemas.microsoft.com/office/drawing/2014/chart" uri="{C3380CC4-5D6E-409C-BE32-E72D297353CC}">
                <c16:uniqueId val="{00000015-CFE0-490E-869F-417E40940604}"/>
              </c:ext>
            </c:extLst>
          </c:dPt>
          <c:dPt>
            <c:idx val="4"/>
            <c:bubble3D val="0"/>
            <c:spPr>
              <a:noFill/>
              <a:ln w="19050">
                <a:noFill/>
              </a:ln>
              <a:effectLst/>
            </c:spPr>
            <c:extLst>
              <c:ext xmlns:c16="http://schemas.microsoft.com/office/drawing/2014/chart" uri="{C3380CC4-5D6E-409C-BE32-E72D297353CC}">
                <c16:uniqueId val="{00000017-CFE0-490E-869F-417E40940604}"/>
              </c:ext>
            </c:extLst>
          </c:dPt>
          <c:val>
            <c:numRef>
              <c:f>Processing!$D$51:$D$55</c:f>
              <c:numCache>
                <c:formatCode>General</c:formatCode>
                <c:ptCount val="5"/>
                <c:pt idx="0">
                  <c:v>0</c:v>
                </c:pt>
                <c:pt idx="1">
                  <c:v>103</c:v>
                </c:pt>
                <c:pt idx="2">
                  <c:v>0</c:v>
                </c:pt>
                <c:pt idx="3">
                  <c:v>0</c:v>
                </c:pt>
                <c:pt idx="4">
                  <c:v>93</c:v>
                </c:pt>
              </c:numCache>
            </c:numRef>
          </c:val>
          <c:extLst>
            <c:ext xmlns:c16="http://schemas.microsoft.com/office/drawing/2014/chart" uri="{C3380CC4-5D6E-409C-BE32-E72D297353CC}">
              <c16:uniqueId val="{00000018-CFE0-490E-869F-417E40940604}"/>
            </c:ext>
          </c:extLst>
        </c:ser>
        <c:dLbls>
          <c:showLegendKey val="0"/>
          <c:showVal val="0"/>
          <c:showCatName val="0"/>
          <c:showSerName val="0"/>
          <c:showPercent val="0"/>
          <c:showBubbleSize val="0"/>
          <c:showLeaderLines val="1"/>
        </c:dLbls>
        <c:firstSliceAng val="18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12700">
              <a:solidFill>
                <a:schemeClr val="bg1"/>
              </a:solidFill>
            </a:ln>
          </c:spPr>
          <c:dPt>
            <c:idx val="0"/>
            <c:bubble3D val="0"/>
            <c:spPr>
              <a:solidFill>
                <a:srgbClr val="3B435B"/>
              </a:solidFill>
              <a:ln w="12700">
                <a:solidFill>
                  <a:schemeClr val="bg1"/>
                </a:solidFill>
              </a:ln>
              <a:effectLst/>
            </c:spPr>
            <c:extLst>
              <c:ext xmlns:c16="http://schemas.microsoft.com/office/drawing/2014/chart" uri="{C3380CC4-5D6E-409C-BE32-E72D297353CC}">
                <c16:uniqueId val="{00000001-8655-4DBC-9C04-BFCFF9A7451E}"/>
              </c:ext>
            </c:extLst>
          </c:dPt>
          <c:dPt>
            <c:idx val="1"/>
            <c:bubble3D val="0"/>
            <c:spPr>
              <a:solidFill>
                <a:srgbClr val="5882B3"/>
              </a:solidFill>
              <a:ln w="12700">
                <a:solidFill>
                  <a:schemeClr val="bg1"/>
                </a:solidFill>
              </a:ln>
              <a:effectLst/>
            </c:spPr>
            <c:extLst>
              <c:ext xmlns:c16="http://schemas.microsoft.com/office/drawing/2014/chart" uri="{C3380CC4-5D6E-409C-BE32-E72D297353CC}">
                <c16:uniqueId val="{00000003-8655-4DBC-9C04-BFCFF9A7451E}"/>
              </c:ext>
            </c:extLst>
          </c:dPt>
          <c:dPt>
            <c:idx val="2"/>
            <c:bubble3D val="0"/>
            <c:spPr>
              <a:solidFill>
                <a:srgbClr val="01EFFA"/>
              </a:solidFill>
              <a:ln w="12700">
                <a:solidFill>
                  <a:schemeClr val="bg1"/>
                </a:solidFill>
              </a:ln>
              <a:effectLst/>
            </c:spPr>
            <c:extLst>
              <c:ext xmlns:c16="http://schemas.microsoft.com/office/drawing/2014/chart" uri="{C3380CC4-5D6E-409C-BE32-E72D297353CC}">
                <c16:uniqueId val="{00000005-8655-4DBC-9C04-BFCFF9A7451E}"/>
              </c:ext>
            </c:extLst>
          </c:dPt>
          <c:dPt>
            <c:idx val="3"/>
            <c:bubble3D val="0"/>
            <c:spPr>
              <a:solidFill>
                <a:srgbClr val="29A3FF"/>
              </a:solidFill>
              <a:ln w="12700">
                <a:solidFill>
                  <a:schemeClr val="bg1"/>
                </a:solidFill>
              </a:ln>
              <a:effectLst/>
            </c:spPr>
            <c:extLst>
              <c:ext xmlns:c16="http://schemas.microsoft.com/office/drawing/2014/chart" uri="{C3380CC4-5D6E-409C-BE32-E72D297353CC}">
                <c16:uniqueId val="{00000007-8655-4DBC-9C04-BFCFF9A7451E}"/>
              </c:ext>
            </c:extLst>
          </c:dPt>
          <c:cat>
            <c:strRef>
              <c:f>Processing!$A$59:$A$62</c:f>
              <c:strCache>
                <c:ptCount val="4"/>
                <c:pt idx="0">
                  <c:v>Air</c:v>
                </c:pt>
                <c:pt idx="1">
                  <c:v>Rail</c:v>
                </c:pt>
                <c:pt idx="2">
                  <c:v>Road</c:v>
                </c:pt>
                <c:pt idx="3">
                  <c:v>Sea</c:v>
                </c:pt>
              </c:strCache>
            </c:strRef>
          </c:cat>
          <c:val>
            <c:numRef>
              <c:f>Processing!$B$59:$B$62</c:f>
              <c:numCache>
                <c:formatCode>General</c:formatCode>
                <c:ptCount val="4"/>
                <c:pt idx="0">
                  <c:v>39</c:v>
                </c:pt>
                <c:pt idx="1">
                  <c:v>21</c:v>
                </c:pt>
                <c:pt idx="2">
                  <c:v>7</c:v>
                </c:pt>
                <c:pt idx="3">
                  <c:v>36</c:v>
                </c:pt>
              </c:numCache>
            </c:numRef>
          </c:val>
          <c:extLst>
            <c:ext xmlns:c16="http://schemas.microsoft.com/office/drawing/2014/chart" uri="{C3380CC4-5D6E-409C-BE32-E72D297353CC}">
              <c16:uniqueId val="{00000008-8655-4DBC-9C04-BFCFF9A7451E}"/>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38100" dist="25400" dir="8100000" algn="tr" rotWithShape="0">
                <a:prstClr val="black">
                  <a:alpha val="40000"/>
                </a:prstClr>
              </a:outerShdw>
            </a:effectLst>
          </c:spPr>
          <c:dPt>
            <c:idx val="0"/>
            <c:bubble3D val="0"/>
            <c:spPr>
              <a:gradFill>
                <a:gsLst>
                  <a:gs pos="0">
                    <a:srgbClr val="E053FB"/>
                  </a:gs>
                  <a:gs pos="100000">
                    <a:srgbClr val="7C74F5"/>
                  </a:gs>
                </a:gsLst>
                <a:lin ang="0" scaled="0"/>
              </a:gradFill>
              <a:ln w="19050">
                <a:noFill/>
              </a:ln>
              <a:effectLst>
                <a:outerShdw blurRad="38100" dist="25400" dir="8100000" algn="tr" rotWithShape="0">
                  <a:prstClr val="black">
                    <a:alpha val="40000"/>
                  </a:prstClr>
                </a:outerShdw>
              </a:effectLst>
            </c:spPr>
            <c:extLst>
              <c:ext xmlns:c16="http://schemas.microsoft.com/office/drawing/2014/chart" uri="{C3380CC4-5D6E-409C-BE32-E72D297353CC}">
                <c16:uniqueId val="{00000001-D43A-4C05-8396-A0B11C2C7FA4}"/>
              </c:ext>
            </c:extLst>
          </c:dPt>
          <c:dPt>
            <c:idx val="1"/>
            <c:bubble3D val="0"/>
            <c:spPr>
              <a:gradFill>
                <a:gsLst>
                  <a:gs pos="0">
                    <a:srgbClr val="6D8DF8"/>
                  </a:gs>
                  <a:gs pos="100000">
                    <a:srgbClr val="2AF2F7"/>
                  </a:gs>
                </a:gsLst>
                <a:lin ang="19800000" scaled="0"/>
              </a:gradFill>
              <a:ln w="19050">
                <a:noFill/>
              </a:ln>
              <a:effectLst>
                <a:outerShdw blurRad="38100" dist="25400" dir="8100000" algn="tr" rotWithShape="0">
                  <a:prstClr val="black">
                    <a:alpha val="40000"/>
                  </a:prstClr>
                </a:outerShdw>
              </a:effectLst>
            </c:spPr>
            <c:extLst>
              <c:ext xmlns:c16="http://schemas.microsoft.com/office/drawing/2014/chart" uri="{C3380CC4-5D6E-409C-BE32-E72D297353CC}">
                <c16:uniqueId val="{00000003-D43A-4C05-8396-A0B11C2C7FA4}"/>
              </c:ext>
            </c:extLst>
          </c:dPt>
          <c:dPt>
            <c:idx val="2"/>
            <c:bubble3D val="0"/>
            <c:spPr>
              <a:gradFill>
                <a:gsLst>
                  <a:gs pos="10000">
                    <a:srgbClr val="98CAE0"/>
                  </a:gs>
                  <a:gs pos="70000">
                    <a:srgbClr val="4393C5"/>
                  </a:gs>
                </a:gsLst>
                <a:lin ang="2700000" scaled="0"/>
              </a:gradFill>
              <a:ln>
                <a:noFill/>
              </a:ln>
              <a:effectLst>
                <a:outerShdw blurRad="38100" dist="25400" dir="8100000" algn="tr" rotWithShape="0">
                  <a:prstClr val="black">
                    <a:alpha val="40000"/>
                  </a:prstClr>
                </a:outerShdw>
              </a:effectLst>
            </c:spPr>
            <c:extLst>
              <c:ext xmlns:c16="http://schemas.microsoft.com/office/drawing/2014/chart" uri="{C3380CC4-5D6E-409C-BE32-E72D297353CC}">
                <c16:uniqueId val="{00000005-D43A-4C05-8396-A0B11C2C7FA4}"/>
              </c:ext>
            </c:extLst>
          </c:dPt>
          <c:cat>
            <c:strRef>
              <c:f>Processing!$A$68:$A$70</c:f>
              <c:strCache>
                <c:ptCount val="3"/>
                <c:pt idx="0">
                  <c:v>Pending</c:v>
                </c:pt>
                <c:pt idx="1">
                  <c:v>Delivered</c:v>
                </c:pt>
                <c:pt idx="2">
                  <c:v>Cancelled</c:v>
                </c:pt>
              </c:strCache>
            </c:strRef>
          </c:cat>
          <c:val>
            <c:numRef>
              <c:f>Processing!$B$68:$B$70</c:f>
              <c:numCache>
                <c:formatCode>General</c:formatCode>
                <c:ptCount val="3"/>
                <c:pt idx="0">
                  <c:v>36</c:v>
                </c:pt>
                <c:pt idx="1">
                  <c:v>49</c:v>
                </c:pt>
                <c:pt idx="2">
                  <c:v>18</c:v>
                </c:pt>
              </c:numCache>
            </c:numRef>
          </c:val>
          <c:extLst>
            <c:ext xmlns:c16="http://schemas.microsoft.com/office/drawing/2014/chart" uri="{C3380CC4-5D6E-409C-BE32-E72D297353CC}">
              <c16:uniqueId val="{00000006-D43A-4C05-8396-A0B11C2C7FA4}"/>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tx>
            <c:v>indent1</c:v>
          </c:tx>
          <c:spPr>
            <a:noFill/>
            <a:ln>
              <a:noFill/>
            </a:ln>
            <a:effectLst/>
          </c:spPr>
          <c:invertIfNegative val="0"/>
          <c:val>
            <c:numRef>
              <c:f>Processing!$C$68:$C$70</c:f>
              <c:numCache>
                <c:formatCode>General</c:formatCode>
                <c:ptCount val="3"/>
                <c:pt idx="0">
                  <c:v>1.96</c:v>
                </c:pt>
                <c:pt idx="1">
                  <c:v>1.96</c:v>
                </c:pt>
                <c:pt idx="2">
                  <c:v>1.96</c:v>
                </c:pt>
              </c:numCache>
            </c:numRef>
          </c:val>
          <c:extLst>
            <c:ext xmlns:c16="http://schemas.microsoft.com/office/drawing/2014/chart" uri="{C3380CC4-5D6E-409C-BE32-E72D297353CC}">
              <c16:uniqueId val="{00000000-41B2-4F27-994A-B35D5770426E}"/>
            </c:ext>
          </c:extLst>
        </c:ser>
        <c:ser>
          <c:idx val="0"/>
          <c:order val="1"/>
          <c:spPr>
            <a:solidFill>
              <a:schemeClr val="accent1"/>
            </a:solidFill>
            <a:ln>
              <a:noFill/>
            </a:ln>
            <a:effectLst>
              <a:outerShdw blurRad="50800" dist="38100" dir="8100000" algn="tr" rotWithShape="0">
                <a:prstClr val="black">
                  <a:alpha val="8000"/>
                </a:prstClr>
              </a:outerShdw>
            </a:effectLst>
          </c:spPr>
          <c:invertIfNegative val="0"/>
          <c:dPt>
            <c:idx val="0"/>
            <c:invertIfNegative val="0"/>
            <c:bubble3D val="0"/>
            <c:spPr>
              <a:gradFill flip="none" rotWithShape="1">
                <a:gsLst>
                  <a:gs pos="0">
                    <a:srgbClr val="E053FB"/>
                  </a:gs>
                  <a:gs pos="100000">
                    <a:srgbClr val="7C74F5"/>
                  </a:gs>
                </a:gsLst>
                <a:lin ang="5400000" scaled="1"/>
                <a:tileRect/>
              </a:gradFill>
              <a:ln w="63500">
                <a:gradFill>
                  <a:gsLst>
                    <a:gs pos="0">
                      <a:srgbClr val="E053FB"/>
                    </a:gs>
                    <a:gs pos="100000">
                      <a:srgbClr val="7C74F5"/>
                    </a:gs>
                  </a:gsLst>
                  <a:lin ang="5400000" scaled="1"/>
                </a:gradFill>
              </a:ln>
              <a:effectLst>
                <a:outerShdw blurRad="50800" dist="38100" dir="8100000" algn="tr" rotWithShape="0">
                  <a:prstClr val="black">
                    <a:alpha val="8000"/>
                  </a:prstClr>
                </a:outerShdw>
              </a:effectLst>
            </c:spPr>
            <c:extLst>
              <c:ext xmlns:c16="http://schemas.microsoft.com/office/drawing/2014/chart" uri="{C3380CC4-5D6E-409C-BE32-E72D297353CC}">
                <c16:uniqueId val="{00000002-41B2-4F27-994A-B35D5770426E}"/>
              </c:ext>
            </c:extLst>
          </c:dPt>
          <c:dPt>
            <c:idx val="1"/>
            <c:invertIfNegative val="0"/>
            <c:bubble3D val="0"/>
            <c:spPr>
              <a:gradFill>
                <a:gsLst>
                  <a:gs pos="0">
                    <a:srgbClr val="6D8DF8"/>
                  </a:gs>
                  <a:gs pos="100000">
                    <a:srgbClr val="2AF2F7"/>
                  </a:gs>
                </a:gsLst>
                <a:lin ang="19800000" scaled="0"/>
              </a:gradFill>
              <a:ln w="63500">
                <a:gradFill>
                  <a:gsLst>
                    <a:gs pos="0">
                      <a:srgbClr val="6D8DF8"/>
                    </a:gs>
                    <a:gs pos="100000">
                      <a:srgbClr val="2AF2F7"/>
                    </a:gs>
                  </a:gsLst>
                  <a:lin ang="19800000" scaled="0"/>
                </a:gradFill>
              </a:ln>
              <a:effectLst>
                <a:outerShdw blurRad="50800" dist="38100" dir="8100000" algn="tr" rotWithShape="0">
                  <a:prstClr val="black">
                    <a:alpha val="8000"/>
                  </a:prstClr>
                </a:outerShdw>
              </a:effectLst>
            </c:spPr>
            <c:extLst>
              <c:ext xmlns:c16="http://schemas.microsoft.com/office/drawing/2014/chart" uri="{C3380CC4-5D6E-409C-BE32-E72D297353CC}">
                <c16:uniqueId val="{00000004-41B2-4F27-994A-B35D5770426E}"/>
              </c:ext>
            </c:extLst>
          </c:dPt>
          <c:dPt>
            <c:idx val="2"/>
            <c:invertIfNegative val="0"/>
            <c:bubble3D val="0"/>
            <c:spPr>
              <a:gradFill flip="none" rotWithShape="1">
                <a:gsLst>
                  <a:gs pos="0">
                    <a:srgbClr val="98CAE0"/>
                  </a:gs>
                  <a:gs pos="100000">
                    <a:srgbClr val="4393C5"/>
                  </a:gs>
                </a:gsLst>
                <a:lin ang="5400000" scaled="1"/>
                <a:tileRect/>
              </a:gradFill>
              <a:ln w="63500">
                <a:gradFill>
                  <a:gsLst>
                    <a:gs pos="0">
                      <a:srgbClr val="98CAE0"/>
                    </a:gs>
                    <a:gs pos="100000">
                      <a:srgbClr val="4393C5"/>
                    </a:gs>
                  </a:gsLst>
                  <a:lin ang="5400000" scaled="1"/>
                </a:gradFill>
              </a:ln>
              <a:effectLst>
                <a:outerShdw blurRad="50800" dist="38100" dir="8100000" algn="tr" rotWithShape="0">
                  <a:prstClr val="black">
                    <a:alpha val="8000"/>
                  </a:prstClr>
                </a:outerShdw>
              </a:effectLst>
            </c:spPr>
            <c:extLst>
              <c:ext xmlns:c16="http://schemas.microsoft.com/office/drawing/2014/chart" uri="{C3380CC4-5D6E-409C-BE32-E72D297353CC}">
                <c16:uniqueId val="{00000006-41B2-4F27-994A-B35D5770426E}"/>
              </c:ext>
            </c:extLst>
          </c:dPt>
          <c:cat>
            <c:strRef>
              <c:f>Processing!$A$68:$A$70</c:f>
              <c:strCache>
                <c:ptCount val="3"/>
                <c:pt idx="0">
                  <c:v>Pending</c:v>
                </c:pt>
                <c:pt idx="1">
                  <c:v>Delivered</c:v>
                </c:pt>
                <c:pt idx="2">
                  <c:v>Cancelled</c:v>
                </c:pt>
              </c:strCache>
            </c:strRef>
          </c:cat>
          <c:val>
            <c:numRef>
              <c:f>Processing!$B$68:$B$70</c:f>
              <c:numCache>
                <c:formatCode>General</c:formatCode>
                <c:ptCount val="3"/>
                <c:pt idx="0">
                  <c:v>36</c:v>
                </c:pt>
                <c:pt idx="1">
                  <c:v>49</c:v>
                </c:pt>
                <c:pt idx="2">
                  <c:v>18</c:v>
                </c:pt>
              </c:numCache>
            </c:numRef>
          </c:val>
          <c:extLst>
            <c:ext xmlns:c16="http://schemas.microsoft.com/office/drawing/2014/chart" uri="{C3380CC4-5D6E-409C-BE32-E72D297353CC}">
              <c16:uniqueId val="{00000007-41B2-4F27-994A-B35D5770426E}"/>
            </c:ext>
          </c:extLst>
        </c:ser>
        <c:ser>
          <c:idx val="2"/>
          <c:order val="2"/>
          <c:tx>
            <c:v>indent2</c:v>
          </c:tx>
          <c:spPr>
            <a:noFill/>
            <a:ln>
              <a:noFill/>
            </a:ln>
            <a:effectLst/>
          </c:spPr>
          <c:invertIfNegative val="0"/>
          <c:dLbls>
            <c:dLbl>
              <c:idx val="0"/>
              <c:tx>
                <c:rich>
                  <a:bodyPr/>
                  <a:lstStyle/>
                  <a:p>
                    <a:fld id="{77C51BA6-D848-4B04-B208-107F88017060}"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1B2-4F27-994A-B35D5770426E}"/>
                </c:ext>
              </c:extLst>
            </c:dLbl>
            <c:dLbl>
              <c:idx val="1"/>
              <c:tx>
                <c:rich>
                  <a:bodyPr/>
                  <a:lstStyle/>
                  <a:p>
                    <a:fld id="{CCA0D77F-EAF2-450C-91BA-13203688F128}"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1B2-4F27-994A-B35D5770426E}"/>
                </c:ext>
              </c:extLst>
            </c:dLbl>
            <c:dLbl>
              <c:idx val="2"/>
              <c:tx>
                <c:rich>
                  <a:bodyPr/>
                  <a:lstStyle/>
                  <a:p>
                    <a:fld id="{C4C34A90-FED0-4C01-99CD-8C1F1F469239}"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1B2-4F27-994A-B35D5770426E}"/>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Inter" panose="020B0502030000000004" pitchFamily="34" charset="0"/>
                    <a:ea typeface="Inter" panose="020B0502030000000004" pitchFamily="34" charset="0"/>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Processing!$C$68:$C$70</c:f>
              <c:numCache>
                <c:formatCode>General</c:formatCode>
                <c:ptCount val="3"/>
                <c:pt idx="0">
                  <c:v>1.96</c:v>
                </c:pt>
                <c:pt idx="1">
                  <c:v>1.96</c:v>
                </c:pt>
                <c:pt idx="2">
                  <c:v>1.96</c:v>
                </c:pt>
              </c:numCache>
            </c:numRef>
          </c:val>
          <c:extLst>
            <c:ext xmlns:c15="http://schemas.microsoft.com/office/drawing/2012/chart" uri="{02D57815-91ED-43cb-92C2-25804820EDAC}">
              <c15:datalabelsRange>
                <c15:f>Processing!$B$68:$B$70</c15:f>
                <c15:dlblRangeCache>
                  <c:ptCount val="3"/>
                  <c:pt idx="0">
                    <c:v>36</c:v>
                  </c:pt>
                  <c:pt idx="1">
                    <c:v>49</c:v>
                  </c:pt>
                  <c:pt idx="2">
                    <c:v>18</c:v>
                  </c:pt>
                </c15:dlblRangeCache>
              </c15:datalabelsRange>
            </c:ext>
            <c:ext xmlns:c16="http://schemas.microsoft.com/office/drawing/2014/chart" uri="{C3380CC4-5D6E-409C-BE32-E72D297353CC}">
              <c16:uniqueId val="{0000000B-41B2-4F27-994A-B35D5770426E}"/>
            </c:ext>
          </c:extLst>
        </c:ser>
        <c:dLbls>
          <c:showLegendKey val="0"/>
          <c:showVal val="0"/>
          <c:showCatName val="0"/>
          <c:showSerName val="0"/>
          <c:showPercent val="0"/>
          <c:showBubbleSize val="0"/>
        </c:dLbls>
        <c:gapWidth val="219"/>
        <c:overlap val="100"/>
        <c:axId val="1468159168"/>
        <c:axId val="1468159648"/>
      </c:barChart>
      <c:catAx>
        <c:axId val="1468159168"/>
        <c:scaling>
          <c:orientation val="minMax"/>
        </c:scaling>
        <c:delete val="0"/>
        <c:axPos val="b"/>
        <c:numFmt formatCode="General" sourceLinked="1"/>
        <c:majorTickMark val="out"/>
        <c:minorTickMark val="none"/>
        <c:tickLblPos val="nextTo"/>
        <c:spPr>
          <a:noFill/>
          <a:ln w="952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68159648"/>
        <c:crosses val="autoZero"/>
        <c:auto val="1"/>
        <c:lblAlgn val="ctr"/>
        <c:lblOffset val="100"/>
        <c:noMultiLvlLbl val="0"/>
      </c:catAx>
      <c:valAx>
        <c:axId val="1468159648"/>
        <c:scaling>
          <c:orientation val="minMax"/>
        </c:scaling>
        <c:delete val="1"/>
        <c:axPos val="l"/>
        <c:numFmt formatCode="General" sourceLinked="1"/>
        <c:majorTickMark val="none"/>
        <c:minorTickMark val="none"/>
        <c:tickLblPos val="nextTo"/>
        <c:crossAx val="1468159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 b="0" i="0" u="none" strike="noStrike" kern="1200" spc="0" baseline="0">
                <a:solidFill>
                  <a:schemeClr val="tx1">
                    <a:lumMod val="65000"/>
                    <a:lumOff val="35000"/>
                  </a:schemeClr>
                </a:solidFill>
                <a:latin typeface="+mn-lt"/>
                <a:ea typeface="+mn-ea"/>
                <a:cs typeface="+mn-cs"/>
              </a:defRPr>
            </a:pPr>
            <a:r>
              <a:rPr lang="en-US" sz="100"/>
              <a:t> </a:t>
            </a:r>
          </a:p>
        </c:rich>
      </c:tx>
      <c:overlay val="0"/>
      <c:spPr>
        <a:noFill/>
        <a:ln>
          <a:noFill/>
        </a:ln>
        <a:effectLst/>
      </c:spPr>
      <c:txPr>
        <a:bodyPr rot="0" spcFirstLastPara="1" vertOverflow="ellipsis" vert="horz" wrap="square" anchor="ctr" anchorCtr="1"/>
        <a:lstStyle/>
        <a:p>
          <a:pPr>
            <a:defRPr sz="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4"/>
          <c:order val="0"/>
          <c:tx>
            <c:strRef>
              <c:f>Processing!$F$76</c:f>
              <c:strCache>
                <c:ptCount val="1"/>
                <c:pt idx="0">
                  <c:v>indent</c:v>
                </c:pt>
              </c:strCache>
            </c:strRef>
          </c:tx>
          <c:spPr>
            <a:noFill/>
            <a:ln>
              <a:noFill/>
            </a:ln>
            <a:effectLst/>
          </c:spPr>
          <c:invertIfNegative val="0"/>
          <c:cat>
            <c:strRef>
              <c:f>Processing!$A$77:$A$88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Processing!$F$77:$F$88</c:f>
              <c:numCache>
                <c:formatCode>General</c:formatCode>
                <c:ptCount val="12"/>
                <c:pt idx="0">
                  <c:v>0.8</c:v>
                </c:pt>
                <c:pt idx="1">
                  <c:v>0.8</c:v>
                </c:pt>
                <c:pt idx="2">
                  <c:v>0.8</c:v>
                </c:pt>
                <c:pt idx="3">
                  <c:v>0.8</c:v>
                </c:pt>
                <c:pt idx="4">
                  <c:v>0.8</c:v>
                </c:pt>
                <c:pt idx="5">
                  <c:v>0.8</c:v>
                </c:pt>
                <c:pt idx="6">
                  <c:v>0.8</c:v>
                </c:pt>
                <c:pt idx="7">
                  <c:v>0.8</c:v>
                </c:pt>
                <c:pt idx="8">
                  <c:v>0.8</c:v>
                </c:pt>
                <c:pt idx="9">
                  <c:v>0.8</c:v>
                </c:pt>
                <c:pt idx="10">
                  <c:v>0.8</c:v>
                </c:pt>
                <c:pt idx="11">
                  <c:v>0.8</c:v>
                </c:pt>
              </c:numCache>
            </c:numRef>
          </c:val>
          <c:extLst>
            <c:ext xmlns:c16="http://schemas.microsoft.com/office/drawing/2014/chart" uri="{C3380CC4-5D6E-409C-BE32-E72D297353CC}">
              <c16:uniqueId val="{00000000-1469-44BB-9225-DA26F5EBCAC7}"/>
            </c:ext>
          </c:extLst>
        </c:ser>
        <c:ser>
          <c:idx val="0"/>
          <c:order val="1"/>
          <c:tx>
            <c:strRef>
              <c:f>Processing!$B$76</c:f>
              <c:strCache>
                <c:ptCount val="1"/>
                <c:pt idx="0">
                  <c:v>2023</c:v>
                </c:pt>
              </c:strCache>
            </c:strRef>
          </c:tx>
          <c:spPr>
            <a:solidFill>
              <a:schemeClr val="accent1"/>
            </a:solidFill>
            <a:ln w="127000">
              <a:solidFill>
                <a:srgbClr val="3B435B"/>
              </a:solidFill>
            </a:ln>
            <a:effectLst/>
          </c:spPr>
          <c:invertIfNegative val="0"/>
          <c:cat>
            <c:strRef>
              <c:f>Processing!$A$77:$A$88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Processing!$B$77:$B$88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1-1469-44BB-9225-DA26F5EBCAC7}"/>
            </c:ext>
          </c:extLst>
        </c:ser>
        <c:ser>
          <c:idx val="2"/>
          <c:order val="2"/>
          <c:tx>
            <c:strRef>
              <c:f>Processing!$D$76</c:f>
              <c:strCache>
                <c:ptCount val="1"/>
                <c:pt idx="0">
                  <c:v>2024</c:v>
                </c:pt>
              </c:strCache>
            </c:strRef>
          </c:tx>
          <c:spPr>
            <a:solidFill>
              <a:schemeClr val="accent3"/>
            </a:solidFill>
            <a:ln w="127000">
              <a:solidFill>
                <a:srgbClr val="3B435B"/>
              </a:solidFill>
            </a:ln>
            <a:effectLst/>
          </c:spPr>
          <c:invertIfNegative val="0"/>
          <c:cat>
            <c:strRef>
              <c:f>Processing!$A$77:$A$88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Processing!$D$77:$D$88</c:f>
              <c:numCache>
                <c:formatCode>General</c:formatCode>
                <c:ptCount val="12"/>
                <c:pt idx="0">
                  <c:v>9</c:v>
                </c:pt>
                <c:pt idx="1">
                  <c:v>12</c:v>
                </c:pt>
                <c:pt idx="2">
                  <c:v>12</c:v>
                </c:pt>
                <c:pt idx="3">
                  <c:v>15</c:v>
                </c:pt>
                <c:pt idx="4">
                  <c:v>8</c:v>
                </c:pt>
                <c:pt idx="5">
                  <c:v>7</c:v>
                </c:pt>
                <c:pt idx="6">
                  <c:v>7</c:v>
                </c:pt>
                <c:pt idx="7">
                  <c:v>14</c:v>
                </c:pt>
                <c:pt idx="8">
                  <c:v>15</c:v>
                </c:pt>
                <c:pt idx="9">
                  <c:v>16</c:v>
                </c:pt>
                <c:pt idx="10">
                  <c:v>9</c:v>
                </c:pt>
                <c:pt idx="11">
                  <c:v>8</c:v>
                </c:pt>
              </c:numCache>
            </c:numRef>
          </c:val>
          <c:extLst>
            <c:ext xmlns:c16="http://schemas.microsoft.com/office/drawing/2014/chart" uri="{C3380CC4-5D6E-409C-BE32-E72D297353CC}">
              <c16:uniqueId val="{00000002-1469-44BB-9225-DA26F5EBCAC7}"/>
            </c:ext>
          </c:extLst>
        </c:ser>
        <c:ser>
          <c:idx val="6"/>
          <c:order val="6"/>
          <c:tx>
            <c:v>indent3</c:v>
          </c:tx>
          <c:spPr>
            <a:noFill/>
            <a:ln>
              <a:noFill/>
            </a:ln>
            <a:effectLst/>
          </c:spPr>
          <c:invertIfNegative val="0"/>
          <c:val>
            <c:numRef>
              <c:f>Processing!$G$77:$G$88</c:f>
              <c:numCache>
                <c:formatCode>General</c:formatCode>
                <c:ptCount val="12"/>
                <c:pt idx="0">
                  <c:v>#N/A</c:v>
                </c:pt>
                <c:pt idx="1">
                  <c:v>#N/A</c:v>
                </c:pt>
                <c:pt idx="2">
                  <c:v>0.8</c:v>
                </c:pt>
                <c:pt idx="3">
                  <c:v>0.8</c:v>
                </c:pt>
                <c:pt idx="4">
                  <c:v>0.8</c:v>
                </c:pt>
                <c:pt idx="5">
                  <c:v>0.8</c:v>
                </c:pt>
                <c:pt idx="6">
                  <c:v>0.8</c:v>
                </c:pt>
                <c:pt idx="7">
                  <c:v>0.8</c:v>
                </c:pt>
                <c:pt idx="8">
                  <c:v>0.8</c:v>
                </c:pt>
                <c:pt idx="9">
                  <c:v>0.8</c:v>
                </c:pt>
                <c:pt idx="10">
                  <c:v>0.8</c:v>
                </c:pt>
                <c:pt idx="11">
                  <c:v>#N/A</c:v>
                </c:pt>
              </c:numCache>
            </c:numRef>
          </c:val>
          <c:extLst>
            <c:ext xmlns:c16="http://schemas.microsoft.com/office/drawing/2014/chart" uri="{C3380CC4-5D6E-409C-BE32-E72D297353CC}">
              <c16:uniqueId val="{0000000F-1469-44BB-9225-DA26F5EBCAC7}"/>
            </c:ext>
          </c:extLst>
        </c:ser>
        <c:dLbls>
          <c:showLegendKey val="0"/>
          <c:showVal val="0"/>
          <c:showCatName val="0"/>
          <c:showSerName val="0"/>
          <c:showPercent val="0"/>
          <c:showBubbleSize val="0"/>
        </c:dLbls>
        <c:gapWidth val="270"/>
        <c:overlap val="100"/>
        <c:axId val="1682928448"/>
        <c:axId val="1682902048"/>
      </c:barChart>
      <c:barChart>
        <c:barDir val="col"/>
        <c:grouping val="stacked"/>
        <c:varyColors val="0"/>
        <c:ser>
          <c:idx val="5"/>
          <c:order val="3"/>
          <c:tx>
            <c:strRef>
              <c:f>Processing!$G$76</c:f>
              <c:strCache>
                <c:ptCount val="1"/>
                <c:pt idx="0">
                  <c:v>indent2</c:v>
                </c:pt>
              </c:strCache>
            </c:strRef>
          </c:tx>
          <c:spPr>
            <a:noFill/>
            <a:ln>
              <a:noFill/>
            </a:ln>
            <a:effectLst/>
          </c:spPr>
          <c:invertIfNegative val="0"/>
          <c:cat>
            <c:strRef>
              <c:f>Processing!$A$77:$A$88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Processing!$G$77:$G$88</c:f>
              <c:numCache>
                <c:formatCode>General</c:formatCode>
                <c:ptCount val="12"/>
                <c:pt idx="0">
                  <c:v>#N/A</c:v>
                </c:pt>
                <c:pt idx="1">
                  <c:v>#N/A</c:v>
                </c:pt>
                <c:pt idx="2">
                  <c:v>0.8</c:v>
                </c:pt>
                <c:pt idx="3">
                  <c:v>0.8</c:v>
                </c:pt>
                <c:pt idx="4">
                  <c:v>0.8</c:v>
                </c:pt>
                <c:pt idx="5">
                  <c:v>0.8</c:v>
                </c:pt>
                <c:pt idx="6">
                  <c:v>0.8</c:v>
                </c:pt>
                <c:pt idx="7">
                  <c:v>0.8</c:v>
                </c:pt>
                <c:pt idx="8">
                  <c:v>0.8</c:v>
                </c:pt>
                <c:pt idx="9">
                  <c:v>0.8</c:v>
                </c:pt>
                <c:pt idx="10">
                  <c:v>0.8</c:v>
                </c:pt>
                <c:pt idx="11">
                  <c:v>#N/A</c:v>
                </c:pt>
              </c:numCache>
            </c:numRef>
          </c:val>
          <c:extLst>
            <c:ext xmlns:c16="http://schemas.microsoft.com/office/drawing/2014/chart" uri="{C3380CC4-5D6E-409C-BE32-E72D297353CC}">
              <c16:uniqueId val="{00000010-1469-44BB-9225-DA26F5EBCAC7}"/>
            </c:ext>
          </c:extLst>
        </c:ser>
        <c:ser>
          <c:idx val="1"/>
          <c:order val="4"/>
          <c:tx>
            <c:strRef>
              <c:f>Processing!$C$76</c:f>
              <c:strCache>
                <c:ptCount val="1"/>
                <c:pt idx="0">
                  <c:v>Cursor 2023</c:v>
                </c:pt>
              </c:strCache>
            </c:strRef>
          </c:tx>
          <c:spPr>
            <a:gradFill>
              <a:gsLst>
                <a:gs pos="0">
                  <a:srgbClr val="01EFFA"/>
                </a:gs>
                <a:gs pos="100000">
                  <a:srgbClr val="16BBC9"/>
                </a:gs>
              </a:gsLst>
              <a:lin ang="5400000" scaled="1"/>
            </a:gradFill>
            <a:ln w="130175">
              <a:gradFill>
                <a:gsLst>
                  <a:gs pos="0">
                    <a:srgbClr val="01EFFA"/>
                  </a:gs>
                  <a:gs pos="100000">
                    <a:srgbClr val="16BBC9"/>
                  </a:gs>
                </a:gsLst>
                <a:lin ang="5400000" scaled="1"/>
              </a:gradFill>
            </a:ln>
            <a:effectLst>
              <a:outerShdw blurRad="50800" dist="38100" dir="2700000" algn="tl" rotWithShape="0">
                <a:prstClr val="black">
                  <a:alpha val="19000"/>
                </a:prstClr>
              </a:outerShdw>
            </a:effectLst>
          </c:spPr>
          <c:invertIfNegative val="0"/>
          <c:dLbls>
            <c:spPr>
              <a:solidFill>
                <a:schemeClr val="bg1">
                  <a:alpha val="61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Processing!$A$77:$A$88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Processing!$C$77:$C$88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11-1469-44BB-9225-DA26F5EBCAC7}"/>
            </c:ext>
          </c:extLst>
        </c:ser>
        <c:ser>
          <c:idx val="3"/>
          <c:order val="5"/>
          <c:tx>
            <c:strRef>
              <c:f>Processing!$E$76</c:f>
              <c:strCache>
                <c:ptCount val="1"/>
                <c:pt idx="0">
                  <c:v>Cursor 2024</c:v>
                </c:pt>
              </c:strCache>
            </c:strRef>
          </c:tx>
          <c:spPr>
            <a:gradFill>
              <a:gsLst>
                <a:gs pos="0">
                  <a:srgbClr val="29A3FF"/>
                </a:gs>
                <a:gs pos="100000">
                  <a:srgbClr val="0077D0"/>
                </a:gs>
              </a:gsLst>
              <a:lin ang="5400000" scaled="1"/>
            </a:gradFill>
            <a:ln w="127000">
              <a:gradFill>
                <a:gsLst>
                  <a:gs pos="0">
                    <a:srgbClr val="29A3FF"/>
                  </a:gs>
                  <a:gs pos="100000">
                    <a:srgbClr val="0077D0"/>
                  </a:gs>
                </a:gsLst>
                <a:lin ang="5400000" scaled="1"/>
              </a:gradFill>
            </a:ln>
            <a:effectLst>
              <a:outerShdw blurRad="50800" dist="38100" dir="2700000" algn="tl" rotWithShape="0">
                <a:prstClr val="black">
                  <a:alpha val="19000"/>
                </a:prstClr>
              </a:outerShdw>
            </a:effectLst>
          </c:spPr>
          <c:invertIfNegative val="0"/>
          <c:dLbls>
            <c:spPr>
              <a:solidFill>
                <a:schemeClr val="bg2">
                  <a:lumMod val="90000"/>
                  <a:alpha val="19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Processing!$A$77:$A$88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Processing!$E$77:$E$88</c:f>
              <c:numCache>
                <c:formatCode>General</c:formatCode>
                <c:ptCount val="12"/>
                <c:pt idx="0">
                  <c:v>#N/A</c:v>
                </c:pt>
                <c:pt idx="1">
                  <c:v>#N/A</c:v>
                </c:pt>
                <c:pt idx="2">
                  <c:v>12</c:v>
                </c:pt>
                <c:pt idx="3">
                  <c:v>15</c:v>
                </c:pt>
                <c:pt idx="4">
                  <c:v>8</c:v>
                </c:pt>
                <c:pt idx="5">
                  <c:v>7</c:v>
                </c:pt>
                <c:pt idx="6">
                  <c:v>7</c:v>
                </c:pt>
                <c:pt idx="7">
                  <c:v>14</c:v>
                </c:pt>
                <c:pt idx="8">
                  <c:v>15</c:v>
                </c:pt>
                <c:pt idx="9">
                  <c:v>16</c:v>
                </c:pt>
                <c:pt idx="10">
                  <c:v>9</c:v>
                </c:pt>
                <c:pt idx="11">
                  <c:v>#N/A</c:v>
                </c:pt>
              </c:numCache>
            </c:numRef>
          </c:val>
          <c:extLst>
            <c:ext xmlns:c16="http://schemas.microsoft.com/office/drawing/2014/chart" uri="{C3380CC4-5D6E-409C-BE32-E72D297353CC}">
              <c16:uniqueId val="{00000012-1469-44BB-9225-DA26F5EBCAC7}"/>
            </c:ext>
          </c:extLst>
        </c:ser>
        <c:dLbls>
          <c:showLegendKey val="0"/>
          <c:showVal val="0"/>
          <c:showCatName val="0"/>
          <c:showSerName val="0"/>
          <c:showPercent val="0"/>
          <c:showBubbleSize val="0"/>
        </c:dLbls>
        <c:gapWidth val="270"/>
        <c:overlap val="100"/>
        <c:axId val="1682821888"/>
        <c:axId val="1682814688"/>
      </c:barChart>
      <c:catAx>
        <c:axId val="168292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902048"/>
        <c:crosses val="autoZero"/>
        <c:auto val="1"/>
        <c:lblAlgn val="ctr"/>
        <c:lblOffset val="100"/>
        <c:noMultiLvlLbl val="0"/>
      </c:catAx>
      <c:valAx>
        <c:axId val="168290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82928448"/>
        <c:crosses val="autoZero"/>
        <c:crossBetween val="between"/>
      </c:valAx>
      <c:valAx>
        <c:axId val="1682814688"/>
        <c:scaling>
          <c:orientation val="minMax"/>
        </c:scaling>
        <c:delete val="1"/>
        <c:axPos val="r"/>
        <c:numFmt formatCode="General" sourceLinked="1"/>
        <c:majorTickMark val="out"/>
        <c:minorTickMark val="none"/>
        <c:tickLblPos val="nextTo"/>
        <c:crossAx val="1682821888"/>
        <c:crosses val="max"/>
        <c:crossBetween val="between"/>
      </c:valAx>
      <c:catAx>
        <c:axId val="1682821888"/>
        <c:scaling>
          <c:orientation val="minMax"/>
        </c:scaling>
        <c:delete val="1"/>
        <c:axPos val="b"/>
        <c:numFmt formatCode="General" sourceLinked="1"/>
        <c:majorTickMark val="out"/>
        <c:minorTickMark val="none"/>
        <c:tickLblPos val="nextTo"/>
        <c:crossAx val="168281468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12700">
              <a:solidFill>
                <a:schemeClr val="bg1"/>
              </a:solidFill>
            </a:ln>
          </c:spPr>
          <c:dPt>
            <c:idx val="0"/>
            <c:bubble3D val="0"/>
            <c:spPr>
              <a:solidFill>
                <a:srgbClr val="3B435B"/>
              </a:solidFill>
              <a:ln w="12700">
                <a:solidFill>
                  <a:schemeClr val="bg1"/>
                </a:solidFill>
              </a:ln>
              <a:effectLst/>
            </c:spPr>
            <c:extLst>
              <c:ext xmlns:c16="http://schemas.microsoft.com/office/drawing/2014/chart" uri="{C3380CC4-5D6E-409C-BE32-E72D297353CC}">
                <c16:uniqueId val="{00000001-145F-4DC6-AA4A-E263A1E1234E}"/>
              </c:ext>
            </c:extLst>
          </c:dPt>
          <c:dPt>
            <c:idx val="1"/>
            <c:bubble3D val="0"/>
            <c:spPr>
              <a:solidFill>
                <a:srgbClr val="5882B3"/>
              </a:solidFill>
              <a:ln w="12700">
                <a:solidFill>
                  <a:schemeClr val="bg1"/>
                </a:solidFill>
              </a:ln>
              <a:effectLst/>
            </c:spPr>
            <c:extLst>
              <c:ext xmlns:c16="http://schemas.microsoft.com/office/drawing/2014/chart" uri="{C3380CC4-5D6E-409C-BE32-E72D297353CC}">
                <c16:uniqueId val="{00000003-145F-4DC6-AA4A-E263A1E1234E}"/>
              </c:ext>
            </c:extLst>
          </c:dPt>
          <c:dPt>
            <c:idx val="2"/>
            <c:bubble3D val="0"/>
            <c:spPr>
              <a:solidFill>
                <a:srgbClr val="01EFFA"/>
              </a:solidFill>
              <a:ln w="12700">
                <a:solidFill>
                  <a:schemeClr val="bg1"/>
                </a:solidFill>
              </a:ln>
              <a:effectLst/>
            </c:spPr>
            <c:extLst>
              <c:ext xmlns:c16="http://schemas.microsoft.com/office/drawing/2014/chart" uri="{C3380CC4-5D6E-409C-BE32-E72D297353CC}">
                <c16:uniqueId val="{00000005-145F-4DC6-AA4A-E263A1E1234E}"/>
              </c:ext>
            </c:extLst>
          </c:dPt>
          <c:dPt>
            <c:idx val="3"/>
            <c:bubble3D val="0"/>
            <c:spPr>
              <a:solidFill>
                <a:srgbClr val="29A3FF"/>
              </a:solidFill>
              <a:ln w="12700">
                <a:solidFill>
                  <a:schemeClr val="bg1"/>
                </a:solidFill>
              </a:ln>
              <a:effectLst/>
            </c:spPr>
            <c:extLst>
              <c:ext xmlns:c16="http://schemas.microsoft.com/office/drawing/2014/chart" uri="{C3380CC4-5D6E-409C-BE32-E72D297353CC}">
                <c16:uniqueId val="{00000007-145F-4DC6-AA4A-E263A1E1234E}"/>
              </c:ext>
            </c:extLst>
          </c:dPt>
          <c:cat>
            <c:strRef>
              <c:f>Processing!$A$59:$A$62</c:f>
              <c:strCache>
                <c:ptCount val="4"/>
                <c:pt idx="0">
                  <c:v>Air</c:v>
                </c:pt>
                <c:pt idx="1">
                  <c:v>Rail</c:v>
                </c:pt>
                <c:pt idx="2">
                  <c:v>Road</c:v>
                </c:pt>
                <c:pt idx="3">
                  <c:v>Sea</c:v>
                </c:pt>
              </c:strCache>
            </c:strRef>
          </c:cat>
          <c:val>
            <c:numRef>
              <c:f>Processing!$B$59:$B$62</c:f>
              <c:numCache>
                <c:formatCode>General</c:formatCode>
                <c:ptCount val="4"/>
                <c:pt idx="0">
                  <c:v>39</c:v>
                </c:pt>
                <c:pt idx="1">
                  <c:v>21</c:v>
                </c:pt>
                <c:pt idx="2">
                  <c:v>7</c:v>
                </c:pt>
                <c:pt idx="3">
                  <c:v>36</c:v>
                </c:pt>
              </c:numCache>
            </c:numRef>
          </c:val>
          <c:extLst>
            <c:ext xmlns:c16="http://schemas.microsoft.com/office/drawing/2014/chart" uri="{C3380CC4-5D6E-409C-BE32-E72D297353CC}">
              <c16:uniqueId val="{00000008-145F-4DC6-AA4A-E263A1E1234E}"/>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38100" dist="25400" dir="8100000" algn="tr" rotWithShape="0">
                <a:prstClr val="black">
                  <a:alpha val="40000"/>
                </a:prstClr>
              </a:outerShdw>
            </a:effectLst>
          </c:spPr>
          <c:dPt>
            <c:idx val="0"/>
            <c:bubble3D val="0"/>
            <c:spPr>
              <a:gradFill>
                <a:gsLst>
                  <a:gs pos="0">
                    <a:srgbClr val="E053FB"/>
                  </a:gs>
                  <a:gs pos="100000">
                    <a:srgbClr val="7C74F5"/>
                  </a:gs>
                </a:gsLst>
                <a:lin ang="0" scaled="0"/>
              </a:gradFill>
              <a:ln w="19050">
                <a:noFill/>
              </a:ln>
              <a:effectLst>
                <a:outerShdw blurRad="38100" dist="25400" dir="8100000" algn="tr" rotWithShape="0">
                  <a:prstClr val="black">
                    <a:alpha val="40000"/>
                  </a:prstClr>
                </a:outerShdw>
              </a:effectLst>
            </c:spPr>
            <c:extLst>
              <c:ext xmlns:c16="http://schemas.microsoft.com/office/drawing/2014/chart" uri="{C3380CC4-5D6E-409C-BE32-E72D297353CC}">
                <c16:uniqueId val="{00000001-9B9A-4C6D-BFB8-FA3155EB36E0}"/>
              </c:ext>
            </c:extLst>
          </c:dPt>
          <c:dPt>
            <c:idx val="1"/>
            <c:bubble3D val="0"/>
            <c:spPr>
              <a:gradFill>
                <a:gsLst>
                  <a:gs pos="0">
                    <a:srgbClr val="6D8DF8"/>
                  </a:gs>
                  <a:gs pos="100000">
                    <a:srgbClr val="2AF2F7"/>
                  </a:gs>
                </a:gsLst>
                <a:lin ang="19800000" scaled="0"/>
              </a:gradFill>
              <a:ln w="19050">
                <a:noFill/>
              </a:ln>
              <a:effectLst>
                <a:outerShdw blurRad="38100" dist="25400" dir="8100000" algn="tr" rotWithShape="0">
                  <a:prstClr val="black">
                    <a:alpha val="40000"/>
                  </a:prstClr>
                </a:outerShdw>
              </a:effectLst>
            </c:spPr>
            <c:extLst>
              <c:ext xmlns:c16="http://schemas.microsoft.com/office/drawing/2014/chart" uri="{C3380CC4-5D6E-409C-BE32-E72D297353CC}">
                <c16:uniqueId val="{00000003-9B9A-4C6D-BFB8-FA3155EB36E0}"/>
              </c:ext>
            </c:extLst>
          </c:dPt>
          <c:dPt>
            <c:idx val="2"/>
            <c:bubble3D val="0"/>
            <c:spPr>
              <a:gradFill>
                <a:gsLst>
                  <a:gs pos="10000">
                    <a:srgbClr val="98CAE0"/>
                  </a:gs>
                  <a:gs pos="70000">
                    <a:srgbClr val="4393C5"/>
                  </a:gs>
                </a:gsLst>
                <a:lin ang="2700000" scaled="0"/>
              </a:gradFill>
              <a:ln>
                <a:noFill/>
              </a:ln>
              <a:effectLst>
                <a:outerShdw blurRad="38100" dist="25400" dir="8100000" algn="tr" rotWithShape="0">
                  <a:prstClr val="black">
                    <a:alpha val="40000"/>
                  </a:prstClr>
                </a:outerShdw>
              </a:effectLst>
            </c:spPr>
            <c:extLst>
              <c:ext xmlns:c16="http://schemas.microsoft.com/office/drawing/2014/chart" uri="{C3380CC4-5D6E-409C-BE32-E72D297353CC}">
                <c16:uniqueId val="{00000005-9B9A-4C6D-BFB8-FA3155EB36E0}"/>
              </c:ext>
            </c:extLst>
          </c:dPt>
          <c:cat>
            <c:strRef>
              <c:f>Processing!$A$68:$A$70</c:f>
              <c:strCache>
                <c:ptCount val="3"/>
                <c:pt idx="0">
                  <c:v>Pending</c:v>
                </c:pt>
                <c:pt idx="1">
                  <c:v>Delivered</c:v>
                </c:pt>
                <c:pt idx="2">
                  <c:v>Cancelled</c:v>
                </c:pt>
              </c:strCache>
            </c:strRef>
          </c:cat>
          <c:val>
            <c:numRef>
              <c:f>Processing!$B$68:$B$70</c:f>
              <c:numCache>
                <c:formatCode>General</c:formatCode>
                <c:ptCount val="3"/>
                <c:pt idx="0">
                  <c:v>36</c:v>
                </c:pt>
                <c:pt idx="1">
                  <c:v>49</c:v>
                </c:pt>
                <c:pt idx="2">
                  <c:v>18</c:v>
                </c:pt>
              </c:numCache>
            </c:numRef>
          </c:val>
          <c:extLst>
            <c:ext xmlns:c16="http://schemas.microsoft.com/office/drawing/2014/chart" uri="{C3380CC4-5D6E-409C-BE32-E72D297353CC}">
              <c16:uniqueId val="{00000006-9B9A-4C6D-BFB8-FA3155EB36E0}"/>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tx>
            <c:v>indent1</c:v>
          </c:tx>
          <c:spPr>
            <a:noFill/>
            <a:ln>
              <a:noFill/>
            </a:ln>
            <a:effectLst/>
          </c:spPr>
          <c:invertIfNegative val="0"/>
          <c:val>
            <c:numRef>
              <c:f>Processing!$C$68:$C$70</c:f>
              <c:numCache>
                <c:formatCode>General</c:formatCode>
                <c:ptCount val="3"/>
                <c:pt idx="0">
                  <c:v>1.96</c:v>
                </c:pt>
                <c:pt idx="1">
                  <c:v>1.96</c:v>
                </c:pt>
                <c:pt idx="2">
                  <c:v>1.96</c:v>
                </c:pt>
              </c:numCache>
            </c:numRef>
          </c:val>
          <c:extLst>
            <c:ext xmlns:c16="http://schemas.microsoft.com/office/drawing/2014/chart" uri="{C3380CC4-5D6E-409C-BE32-E72D297353CC}">
              <c16:uniqueId val="{00000000-9B15-4C92-8661-4FD13E1877B5}"/>
            </c:ext>
          </c:extLst>
        </c:ser>
        <c:ser>
          <c:idx val="0"/>
          <c:order val="1"/>
          <c:spPr>
            <a:solidFill>
              <a:schemeClr val="accent1"/>
            </a:solidFill>
            <a:ln>
              <a:noFill/>
            </a:ln>
            <a:effectLst>
              <a:outerShdw blurRad="50800" dist="38100" dir="8100000" algn="tr" rotWithShape="0">
                <a:prstClr val="black">
                  <a:alpha val="8000"/>
                </a:prstClr>
              </a:outerShdw>
            </a:effectLst>
          </c:spPr>
          <c:invertIfNegative val="0"/>
          <c:dPt>
            <c:idx val="0"/>
            <c:invertIfNegative val="0"/>
            <c:bubble3D val="0"/>
            <c:spPr>
              <a:gradFill flip="none" rotWithShape="1">
                <a:gsLst>
                  <a:gs pos="0">
                    <a:srgbClr val="E053FB"/>
                  </a:gs>
                  <a:gs pos="100000">
                    <a:srgbClr val="7C74F5"/>
                  </a:gs>
                </a:gsLst>
                <a:lin ang="5400000" scaled="1"/>
                <a:tileRect/>
              </a:gradFill>
              <a:ln w="63500">
                <a:gradFill>
                  <a:gsLst>
                    <a:gs pos="0">
                      <a:srgbClr val="E053FB"/>
                    </a:gs>
                    <a:gs pos="100000">
                      <a:srgbClr val="7C74F5"/>
                    </a:gs>
                  </a:gsLst>
                  <a:lin ang="5400000" scaled="1"/>
                </a:gradFill>
              </a:ln>
              <a:effectLst>
                <a:outerShdw blurRad="50800" dist="38100" dir="8100000" algn="tr" rotWithShape="0">
                  <a:prstClr val="black">
                    <a:alpha val="8000"/>
                  </a:prstClr>
                </a:outerShdw>
              </a:effectLst>
            </c:spPr>
            <c:extLst>
              <c:ext xmlns:c16="http://schemas.microsoft.com/office/drawing/2014/chart" uri="{C3380CC4-5D6E-409C-BE32-E72D297353CC}">
                <c16:uniqueId val="{00000002-9B15-4C92-8661-4FD13E1877B5}"/>
              </c:ext>
            </c:extLst>
          </c:dPt>
          <c:dPt>
            <c:idx val="1"/>
            <c:invertIfNegative val="0"/>
            <c:bubble3D val="0"/>
            <c:spPr>
              <a:gradFill>
                <a:gsLst>
                  <a:gs pos="0">
                    <a:srgbClr val="6D8DF8"/>
                  </a:gs>
                  <a:gs pos="100000">
                    <a:srgbClr val="2AF2F7"/>
                  </a:gs>
                </a:gsLst>
                <a:lin ang="19800000" scaled="0"/>
              </a:gradFill>
              <a:ln w="63500">
                <a:gradFill>
                  <a:gsLst>
                    <a:gs pos="0">
                      <a:srgbClr val="6D8DF8"/>
                    </a:gs>
                    <a:gs pos="100000">
                      <a:srgbClr val="2AF2F7"/>
                    </a:gs>
                  </a:gsLst>
                  <a:lin ang="19800000" scaled="0"/>
                </a:gradFill>
              </a:ln>
              <a:effectLst>
                <a:outerShdw blurRad="50800" dist="38100" dir="8100000" algn="tr" rotWithShape="0">
                  <a:prstClr val="black">
                    <a:alpha val="8000"/>
                  </a:prstClr>
                </a:outerShdw>
              </a:effectLst>
            </c:spPr>
            <c:extLst>
              <c:ext xmlns:c16="http://schemas.microsoft.com/office/drawing/2014/chart" uri="{C3380CC4-5D6E-409C-BE32-E72D297353CC}">
                <c16:uniqueId val="{00000004-9B15-4C92-8661-4FD13E1877B5}"/>
              </c:ext>
            </c:extLst>
          </c:dPt>
          <c:dPt>
            <c:idx val="2"/>
            <c:invertIfNegative val="0"/>
            <c:bubble3D val="0"/>
            <c:spPr>
              <a:gradFill flip="none" rotWithShape="1">
                <a:gsLst>
                  <a:gs pos="0">
                    <a:srgbClr val="98CAE0"/>
                  </a:gs>
                  <a:gs pos="100000">
                    <a:srgbClr val="4393C5"/>
                  </a:gs>
                </a:gsLst>
                <a:lin ang="5400000" scaled="1"/>
                <a:tileRect/>
              </a:gradFill>
              <a:ln w="63500">
                <a:gradFill>
                  <a:gsLst>
                    <a:gs pos="0">
                      <a:srgbClr val="98CAE0"/>
                    </a:gs>
                    <a:gs pos="100000">
                      <a:srgbClr val="4393C5"/>
                    </a:gs>
                  </a:gsLst>
                  <a:lin ang="5400000" scaled="1"/>
                </a:gradFill>
              </a:ln>
              <a:effectLst>
                <a:outerShdw blurRad="50800" dist="38100" dir="8100000" algn="tr" rotWithShape="0">
                  <a:prstClr val="black">
                    <a:alpha val="8000"/>
                  </a:prstClr>
                </a:outerShdw>
              </a:effectLst>
            </c:spPr>
            <c:extLst>
              <c:ext xmlns:c16="http://schemas.microsoft.com/office/drawing/2014/chart" uri="{C3380CC4-5D6E-409C-BE32-E72D297353CC}">
                <c16:uniqueId val="{00000006-9B15-4C92-8661-4FD13E1877B5}"/>
              </c:ext>
            </c:extLst>
          </c:dPt>
          <c:cat>
            <c:strRef>
              <c:f>Processing!$A$68:$A$70</c:f>
              <c:strCache>
                <c:ptCount val="3"/>
                <c:pt idx="0">
                  <c:v>Pending</c:v>
                </c:pt>
                <c:pt idx="1">
                  <c:v>Delivered</c:v>
                </c:pt>
                <c:pt idx="2">
                  <c:v>Cancelled</c:v>
                </c:pt>
              </c:strCache>
            </c:strRef>
          </c:cat>
          <c:val>
            <c:numRef>
              <c:f>Processing!$B$68:$B$70</c:f>
              <c:numCache>
                <c:formatCode>General</c:formatCode>
                <c:ptCount val="3"/>
                <c:pt idx="0">
                  <c:v>36</c:v>
                </c:pt>
                <c:pt idx="1">
                  <c:v>49</c:v>
                </c:pt>
                <c:pt idx="2">
                  <c:v>18</c:v>
                </c:pt>
              </c:numCache>
            </c:numRef>
          </c:val>
          <c:extLst>
            <c:ext xmlns:c16="http://schemas.microsoft.com/office/drawing/2014/chart" uri="{C3380CC4-5D6E-409C-BE32-E72D297353CC}">
              <c16:uniqueId val="{00000007-9B15-4C92-8661-4FD13E1877B5}"/>
            </c:ext>
          </c:extLst>
        </c:ser>
        <c:ser>
          <c:idx val="2"/>
          <c:order val="2"/>
          <c:tx>
            <c:v>indent2</c:v>
          </c:tx>
          <c:spPr>
            <a:noFill/>
            <a:ln>
              <a:noFill/>
            </a:ln>
            <a:effectLst/>
          </c:spPr>
          <c:invertIfNegative val="0"/>
          <c:dLbls>
            <c:dLbl>
              <c:idx val="0"/>
              <c:tx>
                <c:rich>
                  <a:bodyPr/>
                  <a:lstStyle/>
                  <a:p>
                    <a:fld id="{8DDF8301-BC6A-4E0A-A5E3-F99C313879D4}"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B15-4C92-8661-4FD13E1877B5}"/>
                </c:ext>
              </c:extLst>
            </c:dLbl>
            <c:dLbl>
              <c:idx val="1"/>
              <c:tx>
                <c:rich>
                  <a:bodyPr/>
                  <a:lstStyle/>
                  <a:p>
                    <a:fld id="{2A8814B7-D860-4862-BF9F-068F95D18D4A}"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B15-4C92-8661-4FD13E1877B5}"/>
                </c:ext>
              </c:extLst>
            </c:dLbl>
            <c:dLbl>
              <c:idx val="2"/>
              <c:tx>
                <c:rich>
                  <a:bodyPr/>
                  <a:lstStyle/>
                  <a:p>
                    <a:fld id="{51211DEF-F4D5-4654-9E09-698D9A38C11D}"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B15-4C92-8661-4FD13E1877B5}"/>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Inter" panose="020B0502030000000004" pitchFamily="34" charset="0"/>
                    <a:ea typeface="Inter" panose="020B0502030000000004" pitchFamily="34" charset="0"/>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Processing!$C$68:$C$70</c:f>
              <c:numCache>
                <c:formatCode>General</c:formatCode>
                <c:ptCount val="3"/>
                <c:pt idx="0">
                  <c:v>1.96</c:v>
                </c:pt>
                <c:pt idx="1">
                  <c:v>1.96</c:v>
                </c:pt>
                <c:pt idx="2">
                  <c:v>1.96</c:v>
                </c:pt>
              </c:numCache>
            </c:numRef>
          </c:val>
          <c:extLst>
            <c:ext xmlns:c15="http://schemas.microsoft.com/office/drawing/2012/chart" uri="{02D57815-91ED-43cb-92C2-25804820EDAC}">
              <c15:datalabelsRange>
                <c15:f>Processing!$B$68:$B$70</c15:f>
                <c15:dlblRangeCache>
                  <c:ptCount val="3"/>
                  <c:pt idx="0">
                    <c:v>36</c:v>
                  </c:pt>
                  <c:pt idx="1">
                    <c:v>49</c:v>
                  </c:pt>
                  <c:pt idx="2">
                    <c:v>18</c:v>
                  </c:pt>
                </c15:dlblRangeCache>
              </c15:datalabelsRange>
            </c:ext>
            <c:ext xmlns:c16="http://schemas.microsoft.com/office/drawing/2014/chart" uri="{C3380CC4-5D6E-409C-BE32-E72D297353CC}">
              <c16:uniqueId val="{0000000B-9B15-4C92-8661-4FD13E1877B5}"/>
            </c:ext>
          </c:extLst>
        </c:ser>
        <c:dLbls>
          <c:showLegendKey val="0"/>
          <c:showVal val="0"/>
          <c:showCatName val="0"/>
          <c:showSerName val="0"/>
          <c:showPercent val="0"/>
          <c:showBubbleSize val="0"/>
        </c:dLbls>
        <c:gapWidth val="219"/>
        <c:overlap val="100"/>
        <c:axId val="1468159168"/>
        <c:axId val="1468159648"/>
      </c:barChart>
      <c:catAx>
        <c:axId val="1468159168"/>
        <c:scaling>
          <c:orientation val="minMax"/>
        </c:scaling>
        <c:delete val="0"/>
        <c:axPos val="b"/>
        <c:numFmt formatCode="General" sourceLinked="1"/>
        <c:majorTickMark val="out"/>
        <c:minorTickMark val="none"/>
        <c:tickLblPos val="nextTo"/>
        <c:spPr>
          <a:noFill/>
          <a:ln w="952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68159648"/>
        <c:crosses val="autoZero"/>
        <c:auto val="1"/>
        <c:lblAlgn val="ctr"/>
        <c:lblOffset val="100"/>
        <c:noMultiLvlLbl val="0"/>
      </c:catAx>
      <c:valAx>
        <c:axId val="1468159648"/>
        <c:scaling>
          <c:orientation val="minMax"/>
        </c:scaling>
        <c:delete val="1"/>
        <c:axPos val="l"/>
        <c:numFmt formatCode="General" sourceLinked="1"/>
        <c:majorTickMark val="none"/>
        <c:minorTickMark val="none"/>
        <c:tickLblPos val="nextTo"/>
        <c:crossAx val="1468159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 b="0" i="0" u="none" strike="noStrike" kern="1200" spc="0" baseline="0">
                <a:solidFill>
                  <a:schemeClr val="tx1">
                    <a:lumMod val="65000"/>
                    <a:lumOff val="35000"/>
                  </a:schemeClr>
                </a:solidFill>
                <a:latin typeface="+mn-lt"/>
                <a:ea typeface="+mn-ea"/>
                <a:cs typeface="+mn-cs"/>
              </a:defRPr>
            </a:pPr>
            <a:r>
              <a:rPr lang="en-US" sz="100"/>
              <a:t> </a:t>
            </a:r>
          </a:p>
        </c:rich>
      </c:tx>
      <c:overlay val="0"/>
      <c:spPr>
        <a:noFill/>
        <a:ln>
          <a:noFill/>
        </a:ln>
        <a:effectLst/>
      </c:spPr>
      <c:txPr>
        <a:bodyPr rot="0" spcFirstLastPara="1" vertOverflow="ellipsis" vert="horz" wrap="square" anchor="ctr" anchorCtr="1"/>
        <a:lstStyle/>
        <a:p>
          <a:pPr>
            <a:defRPr sz="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Processing!$B$23</c:f>
              <c:strCache>
                <c:ptCount val="1"/>
                <c:pt idx="0">
                  <c:v>2024</c:v>
                </c:pt>
              </c:strCache>
            </c:strRef>
          </c:tx>
          <c:spPr>
            <a:ln w="25400" cap="rnd">
              <a:solidFill>
                <a:srgbClr val="01EFFA"/>
              </a:solidFill>
              <a:round/>
            </a:ln>
            <a:effectLst>
              <a:outerShdw blurRad="50800" dist="38100" dir="2700000" algn="tl" rotWithShape="0">
                <a:prstClr val="black">
                  <a:alpha val="40000"/>
                </a:prstClr>
              </a:outerShdw>
            </a:effectLst>
          </c:spPr>
          <c:marker>
            <c:symbol val="none"/>
          </c:marker>
          <c:cat>
            <c:strRef>
              <c:f>Processing!$A$24:$A$35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Processing!$B$24:$B$35</c:f>
              <c:numCache>
                <c:formatCode>[&gt;=1000000]0,,"M";[&gt;=1000]0,"K";0</c:formatCode>
                <c:ptCount val="12"/>
                <c:pt idx="0">
                  <c:v>952</c:v>
                </c:pt>
                <c:pt idx="1">
                  <c:v>1091</c:v>
                </c:pt>
                <c:pt idx="2">
                  <c:v>1281</c:v>
                </c:pt>
                <c:pt idx="3">
                  <c:v>920</c:v>
                </c:pt>
                <c:pt idx="4">
                  <c:v>615</c:v>
                </c:pt>
                <c:pt idx="5">
                  <c:v>694</c:v>
                </c:pt>
                <c:pt idx="6">
                  <c:v>565</c:v>
                </c:pt>
                <c:pt idx="7">
                  <c:v>1288</c:v>
                </c:pt>
                <c:pt idx="8">
                  <c:v>1459</c:v>
                </c:pt>
                <c:pt idx="9">
                  <c:v>1618</c:v>
                </c:pt>
                <c:pt idx="10">
                  <c:v>843</c:v>
                </c:pt>
                <c:pt idx="11">
                  <c:v>657</c:v>
                </c:pt>
              </c:numCache>
            </c:numRef>
          </c:val>
          <c:smooth val="1"/>
          <c:extLst>
            <c:ext xmlns:c16="http://schemas.microsoft.com/office/drawing/2014/chart" uri="{C3380CC4-5D6E-409C-BE32-E72D297353CC}">
              <c16:uniqueId val="{00000002-BDD0-43D1-9E9D-FBEE7D29F421}"/>
            </c:ext>
          </c:extLst>
        </c:ser>
        <c:dLbls>
          <c:showLegendKey val="0"/>
          <c:showVal val="0"/>
          <c:showCatName val="0"/>
          <c:showSerName val="0"/>
          <c:showPercent val="0"/>
          <c:showBubbleSize val="0"/>
        </c:dLbls>
        <c:marker val="1"/>
        <c:smooth val="0"/>
        <c:axId val="1042408176"/>
        <c:axId val="1042408656"/>
      </c:lineChart>
      <c:scatterChart>
        <c:scatterStyle val="lineMarker"/>
        <c:varyColors val="0"/>
        <c:ser>
          <c:idx val="2"/>
          <c:order val="1"/>
          <c:tx>
            <c:strRef>
              <c:f>Processing!$C$23</c:f>
              <c:strCache>
                <c:ptCount val="1"/>
                <c:pt idx="0">
                  <c:v>Cursor 2024</c:v>
                </c:pt>
              </c:strCache>
            </c:strRef>
          </c:tx>
          <c:spPr>
            <a:ln w="25400" cap="rnd">
              <a:noFill/>
              <a:round/>
            </a:ln>
            <a:effectLst>
              <a:outerShdw blurRad="50800" dist="38100" dir="5400000" algn="t" rotWithShape="0">
                <a:prstClr val="black">
                  <a:alpha val="40000"/>
                </a:prstClr>
              </a:outerShdw>
            </a:effectLst>
          </c:spPr>
          <c:marker>
            <c:symbol val="circle"/>
            <c:size val="8"/>
            <c:spPr>
              <a:solidFill>
                <a:srgbClr val="01EFFA"/>
              </a:solidFill>
              <a:ln w="12700">
                <a:solidFill>
                  <a:schemeClr val="bg1"/>
                </a:solidFill>
              </a:ln>
              <a:effectLst>
                <a:outerShdw blurRad="50800" dist="38100" dir="5400000" algn="t" rotWithShape="0">
                  <a:prstClr val="black">
                    <a:alpha val="40000"/>
                  </a:prstClr>
                </a:outerShdw>
              </a:effectLst>
            </c:spPr>
          </c:marker>
          <c:dLbls>
            <c:spPr>
              <a:solidFill>
                <a:srgbClr val="0594FF">
                  <a:alpha val="27000"/>
                </a:srgbClr>
              </a:solidFill>
              <a:ln>
                <a:solidFill>
                  <a:srgbClr val="3FADFF">
                    <a:alpha val="65000"/>
                  </a:srgbClr>
                </a:solidFill>
              </a:ln>
              <a:effectLst>
                <a:outerShdw blurRad="50800" dist="38100" dir="8100000" algn="tr"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Processing!$C$24:$C$35</c:f>
                <c:numCache>
                  <c:formatCode>General</c:formatCode>
                  <c:ptCount val="12"/>
                  <c:pt idx="0">
                    <c:v>#N/A</c:v>
                  </c:pt>
                  <c:pt idx="1">
                    <c:v>#N/A</c:v>
                  </c:pt>
                  <c:pt idx="2">
                    <c:v>1281</c:v>
                  </c:pt>
                  <c:pt idx="3">
                    <c:v>920</c:v>
                  </c:pt>
                  <c:pt idx="4">
                    <c:v>615</c:v>
                  </c:pt>
                  <c:pt idx="5">
                    <c:v>694</c:v>
                  </c:pt>
                  <c:pt idx="6">
                    <c:v>565</c:v>
                  </c:pt>
                  <c:pt idx="7">
                    <c:v>1288</c:v>
                  </c:pt>
                  <c:pt idx="8">
                    <c:v>1459</c:v>
                  </c:pt>
                  <c:pt idx="9">
                    <c:v>1618</c:v>
                  </c:pt>
                  <c:pt idx="10">
                    <c:v>843</c:v>
                  </c:pt>
                  <c:pt idx="11">
                    <c:v>#N/A</c:v>
                  </c:pt>
                </c:numCache>
              </c:numRef>
            </c:minus>
            <c:spPr>
              <a:noFill/>
              <a:ln w="9525" cap="flat" cmpd="sng" algn="ctr">
                <a:gradFill>
                  <a:gsLst>
                    <a:gs pos="0">
                      <a:srgbClr val="16BBC9"/>
                    </a:gs>
                    <a:gs pos="100000">
                      <a:srgbClr val="5882B3">
                        <a:alpha val="0"/>
                      </a:srgbClr>
                    </a:gs>
                  </a:gsLst>
                  <a:lin ang="5400000" scaled="1"/>
                </a:gradFill>
                <a:round/>
              </a:ln>
              <a:effectLst/>
            </c:spPr>
          </c:errBars>
          <c:xVal>
            <c:strRef>
              <c:f>Processing!$A$24:$A$35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Processing!$C$24:$C$35</c:f>
              <c:numCache>
                <c:formatCode>[&gt;=1000000]0,,"M";[&gt;=1000]0,"K";0</c:formatCode>
                <c:ptCount val="12"/>
                <c:pt idx="0">
                  <c:v>#N/A</c:v>
                </c:pt>
                <c:pt idx="1">
                  <c:v>#N/A</c:v>
                </c:pt>
                <c:pt idx="2">
                  <c:v>1281</c:v>
                </c:pt>
                <c:pt idx="3">
                  <c:v>920</c:v>
                </c:pt>
                <c:pt idx="4">
                  <c:v>615</c:v>
                </c:pt>
                <c:pt idx="5">
                  <c:v>694</c:v>
                </c:pt>
                <c:pt idx="6">
                  <c:v>565</c:v>
                </c:pt>
                <c:pt idx="7">
                  <c:v>1288</c:v>
                </c:pt>
                <c:pt idx="8">
                  <c:v>1459</c:v>
                </c:pt>
                <c:pt idx="9">
                  <c:v>1618</c:v>
                </c:pt>
                <c:pt idx="10">
                  <c:v>843</c:v>
                </c:pt>
                <c:pt idx="11">
                  <c:v>#N/A</c:v>
                </c:pt>
              </c:numCache>
            </c:numRef>
          </c:yVal>
          <c:smooth val="0"/>
          <c:extLst>
            <c:ext xmlns:c16="http://schemas.microsoft.com/office/drawing/2014/chart" uri="{C3380CC4-5D6E-409C-BE32-E72D297353CC}">
              <c16:uniqueId val="{00000003-BDD0-43D1-9E9D-FBEE7D29F421}"/>
            </c:ext>
          </c:extLst>
        </c:ser>
        <c:dLbls>
          <c:showLegendKey val="0"/>
          <c:showVal val="0"/>
          <c:showCatName val="0"/>
          <c:showSerName val="0"/>
          <c:showPercent val="0"/>
          <c:showBubbleSize val="0"/>
        </c:dLbls>
        <c:axId val="975988096"/>
        <c:axId val="976138816"/>
      </c:scatterChart>
      <c:catAx>
        <c:axId val="1042408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042408656"/>
        <c:crosses val="autoZero"/>
        <c:auto val="1"/>
        <c:lblAlgn val="ctr"/>
        <c:lblOffset val="100"/>
        <c:noMultiLvlLbl val="0"/>
      </c:catAx>
      <c:valAx>
        <c:axId val="1042408656"/>
        <c:scaling>
          <c:orientation val="minMax"/>
        </c:scaling>
        <c:delete val="0"/>
        <c:axPos val="l"/>
        <c:majorGridlines>
          <c:spPr>
            <a:ln w="9525" cap="flat" cmpd="sng" algn="ctr">
              <a:solidFill>
                <a:srgbClr val="29A3FF">
                  <a:alpha val="20000"/>
                </a:srgb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lumMod val="85000"/>
                  </a:schemeClr>
                </a:solidFill>
                <a:latin typeface="+mn-lt"/>
                <a:ea typeface="+mn-ea"/>
                <a:cs typeface="+mn-cs"/>
              </a:defRPr>
            </a:pPr>
            <a:endParaRPr lang="en-US"/>
          </a:p>
        </c:txPr>
        <c:crossAx val="1042408176"/>
        <c:crosses val="autoZero"/>
        <c:crossBetween val="between"/>
      </c:valAx>
      <c:valAx>
        <c:axId val="976138816"/>
        <c:scaling>
          <c:orientation val="minMax"/>
        </c:scaling>
        <c:delete val="1"/>
        <c:axPos val="r"/>
        <c:numFmt formatCode="[&gt;=1000000]0,,&quot;M&quot;;[&gt;=1000]0,&quot;K&quot;;0" sourceLinked="1"/>
        <c:majorTickMark val="out"/>
        <c:minorTickMark val="none"/>
        <c:tickLblPos val="nextTo"/>
        <c:crossAx val="975988096"/>
        <c:crosses val="max"/>
        <c:crossBetween val="midCat"/>
      </c:valAx>
      <c:valAx>
        <c:axId val="975988096"/>
        <c:scaling>
          <c:orientation val="minMax"/>
        </c:scaling>
        <c:delete val="1"/>
        <c:axPos val="b"/>
        <c:majorTickMark val="out"/>
        <c:minorTickMark val="none"/>
        <c:tickLblPos val="nextTo"/>
        <c:crossAx val="9761388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 b="0" i="0" u="none" strike="noStrike" kern="1200" spc="0" baseline="0">
                <a:solidFill>
                  <a:schemeClr val="tx1">
                    <a:lumMod val="65000"/>
                    <a:lumOff val="35000"/>
                  </a:schemeClr>
                </a:solidFill>
                <a:latin typeface="+mn-lt"/>
                <a:ea typeface="+mn-ea"/>
                <a:cs typeface="+mn-cs"/>
              </a:defRPr>
            </a:pPr>
            <a:r>
              <a:rPr lang="en-US" sz="100"/>
              <a:t> </a:t>
            </a:r>
          </a:p>
        </c:rich>
      </c:tx>
      <c:overlay val="0"/>
      <c:spPr>
        <a:noFill/>
        <a:ln>
          <a:noFill/>
        </a:ln>
        <a:effectLst/>
      </c:spPr>
      <c:txPr>
        <a:bodyPr rot="0" spcFirstLastPara="1" vertOverflow="ellipsis" vert="horz" wrap="square" anchor="ctr" anchorCtr="1"/>
        <a:lstStyle/>
        <a:p>
          <a:pPr>
            <a:defRPr sz="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4"/>
          <c:order val="0"/>
          <c:tx>
            <c:strRef>
              <c:f>Processing!$F$76</c:f>
              <c:strCache>
                <c:ptCount val="1"/>
                <c:pt idx="0">
                  <c:v>indent</c:v>
                </c:pt>
              </c:strCache>
            </c:strRef>
          </c:tx>
          <c:spPr>
            <a:noFill/>
            <a:ln>
              <a:noFill/>
            </a:ln>
            <a:effectLst/>
          </c:spPr>
          <c:invertIfNegative val="0"/>
          <c:cat>
            <c:strRef>
              <c:f>Processing!$A$77:$A$88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Processing!$F$77:$F$88</c:f>
              <c:numCache>
                <c:formatCode>General</c:formatCode>
                <c:ptCount val="12"/>
                <c:pt idx="0">
                  <c:v>0.8</c:v>
                </c:pt>
                <c:pt idx="1">
                  <c:v>0.8</c:v>
                </c:pt>
                <c:pt idx="2">
                  <c:v>0.8</c:v>
                </c:pt>
                <c:pt idx="3">
                  <c:v>0.8</c:v>
                </c:pt>
                <c:pt idx="4">
                  <c:v>0.8</c:v>
                </c:pt>
                <c:pt idx="5">
                  <c:v>0.8</c:v>
                </c:pt>
                <c:pt idx="6">
                  <c:v>0.8</c:v>
                </c:pt>
                <c:pt idx="7">
                  <c:v>0.8</c:v>
                </c:pt>
                <c:pt idx="8">
                  <c:v>0.8</c:v>
                </c:pt>
                <c:pt idx="9">
                  <c:v>0.8</c:v>
                </c:pt>
                <c:pt idx="10">
                  <c:v>0.8</c:v>
                </c:pt>
                <c:pt idx="11">
                  <c:v>0.8</c:v>
                </c:pt>
              </c:numCache>
            </c:numRef>
          </c:val>
          <c:extLst>
            <c:ext xmlns:c16="http://schemas.microsoft.com/office/drawing/2014/chart" uri="{C3380CC4-5D6E-409C-BE32-E72D297353CC}">
              <c16:uniqueId val="{00000000-2F48-4C18-932A-1FD4E2F2C19D}"/>
            </c:ext>
          </c:extLst>
        </c:ser>
        <c:ser>
          <c:idx val="0"/>
          <c:order val="1"/>
          <c:tx>
            <c:strRef>
              <c:f>Processing!$B$76</c:f>
              <c:strCache>
                <c:ptCount val="1"/>
                <c:pt idx="0">
                  <c:v>2023</c:v>
                </c:pt>
              </c:strCache>
            </c:strRef>
          </c:tx>
          <c:spPr>
            <a:solidFill>
              <a:schemeClr val="accent1"/>
            </a:solidFill>
            <a:ln w="127000">
              <a:solidFill>
                <a:srgbClr val="3B435B"/>
              </a:solidFill>
            </a:ln>
            <a:effectLst/>
          </c:spPr>
          <c:invertIfNegative val="0"/>
          <c:cat>
            <c:strRef>
              <c:f>Processing!$A$77:$A$88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Processing!$B$77:$B$88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1-2F48-4C18-932A-1FD4E2F2C19D}"/>
            </c:ext>
          </c:extLst>
        </c:ser>
        <c:ser>
          <c:idx val="2"/>
          <c:order val="2"/>
          <c:tx>
            <c:strRef>
              <c:f>Processing!$D$76</c:f>
              <c:strCache>
                <c:ptCount val="1"/>
                <c:pt idx="0">
                  <c:v>2024</c:v>
                </c:pt>
              </c:strCache>
            </c:strRef>
          </c:tx>
          <c:spPr>
            <a:solidFill>
              <a:schemeClr val="accent3"/>
            </a:solidFill>
            <a:ln w="127000">
              <a:solidFill>
                <a:srgbClr val="3B435B"/>
              </a:solidFill>
            </a:ln>
            <a:effectLst/>
          </c:spPr>
          <c:invertIfNegative val="0"/>
          <c:cat>
            <c:strRef>
              <c:f>Processing!$A$77:$A$88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Processing!$D$77:$D$88</c:f>
              <c:numCache>
                <c:formatCode>General</c:formatCode>
                <c:ptCount val="12"/>
                <c:pt idx="0">
                  <c:v>9</c:v>
                </c:pt>
                <c:pt idx="1">
                  <c:v>12</c:v>
                </c:pt>
                <c:pt idx="2">
                  <c:v>12</c:v>
                </c:pt>
                <c:pt idx="3">
                  <c:v>15</c:v>
                </c:pt>
                <c:pt idx="4">
                  <c:v>8</c:v>
                </c:pt>
                <c:pt idx="5">
                  <c:v>7</c:v>
                </c:pt>
                <c:pt idx="6">
                  <c:v>7</c:v>
                </c:pt>
                <c:pt idx="7">
                  <c:v>14</c:v>
                </c:pt>
                <c:pt idx="8">
                  <c:v>15</c:v>
                </c:pt>
                <c:pt idx="9">
                  <c:v>16</c:v>
                </c:pt>
                <c:pt idx="10">
                  <c:v>9</c:v>
                </c:pt>
                <c:pt idx="11">
                  <c:v>8</c:v>
                </c:pt>
              </c:numCache>
            </c:numRef>
          </c:val>
          <c:extLst>
            <c:ext xmlns:c16="http://schemas.microsoft.com/office/drawing/2014/chart" uri="{C3380CC4-5D6E-409C-BE32-E72D297353CC}">
              <c16:uniqueId val="{00000002-2F48-4C18-932A-1FD4E2F2C19D}"/>
            </c:ext>
          </c:extLst>
        </c:ser>
        <c:ser>
          <c:idx val="6"/>
          <c:order val="6"/>
          <c:tx>
            <c:v>indent3</c:v>
          </c:tx>
          <c:spPr>
            <a:noFill/>
            <a:ln>
              <a:noFill/>
            </a:ln>
            <a:effectLst/>
          </c:spPr>
          <c:invertIfNegative val="0"/>
          <c:val>
            <c:numRef>
              <c:f>Processing!$G$77:$G$88</c:f>
              <c:numCache>
                <c:formatCode>General</c:formatCode>
                <c:ptCount val="12"/>
                <c:pt idx="0">
                  <c:v>#N/A</c:v>
                </c:pt>
                <c:pt idx="1">
                  <c:v>#N/A</c:v>
                </c:pt>
                <c:pt idx="2">
                  <c:v>0.8</c:v>
                </c:pt>
                <c:pt idx="3">
                  <c:v>0.8</c:v>
                </c:pt>
                <c:pt idx="4">
                  <c:v>0.8</c:v>
                </c:pt>
                <c:pt idx="5">
                  <c:v>0.8</c:v>
                </c:pt>
                <c:pt idx="6">
                  <c:v>0.8</c:v>
                </c:pt>
                <c:pt idx="7">
                  <c:v>0.8</c:v>
                </c:pt>
                <c:pt idx="8">
                  <c:v>0.8</c:v>
                </c:pt>
                <c:pt idx="9">
                  <c:v>0.8</c:v>
                </c:pt>
                <c:pt idx="10">
                  <c:v>0.8</c:v>
                </c:pt>
                <c:pt idx="11">
                  <c:v>#N/A</c:v>
                </c:pt>
              </c:numCache>
            </c:numRef>
          </c:val>
          <c:extLst>
            <c:ext xmlns:c16="http://schemas.microsoft.com/office/drawing/2014/chart" uri="{C3380CC4-5D6E-409C-BE32-E72D297353CC}">
              <c16:uniqueId val="{00000003-2F48-4C18-932A-1FD4E2F2C19D}"/>
            </c:ext>
          </c:extLst>
        </c:ser>
        <c:dLbls>
          <c:showLegendKey val="0"/>
          <c:showVal val="0"/>
          <c:showCatName val="0"/>
          <c:showSerName val="0"/>
          <c:showPercent val="0"/>
          <c:showBubbleSize val="0"/>
        </c:dLbls>
        <c:gapWidth val="270"/>
        <c:overlap val="100"/>
        <c:axId val="1682928448"/>
        <c:axId val="1682902048"/>
      </c:barChart>
      <c:barChart>
        <c:barDir val="col"/>
        <c:grouping val="stacked"/>
        <c:varyColors val="0"/>
        <c:ser>
          <c:idx val="5"/>
          <c:order val="3"/>
          <c:tx>
            <c:strRef>
              <c:f>Processing!$G$76</c:f>
              <c:strCache>
                <c:ptCount val="1"/>
                <c:pt idx="0">
                  <c:v>indent2</c:v>
                </c:pt>
              </c:strCache>
            </c:strRef>
          </c:tx>
          <c:spPr>
            <a:noFill/>
            <a:ln>
              <a:noFill/>
            </a:ln>
            <a:effectLst/>
          </c:spPr>
          <c:invertIfNegative val="0"/>
          <c:cat>
            <c:strRef>
              <c:f>Processing!$A$77:$A$88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Processing!$G$77:$G$88</c:f>
              <c:numCache>
                <c:formatCode>General</c:formatCode>
                <c:ptCount val="12"/>
                <c:pt idx="0">
                  <c:v>#N/A</c:v>
                </c:pt>
                <c:pt idx="1">
                  <c:v>#N/A</c:v>
                </c:pt>
                <c:pt idx="2">
                  <c:v>0.8</c:v>
                </c:pt>
                <c:pt idx="3">
                  <c:v>0.8</c:v>
                </c:pt>
                <c:pt idx="4">
                  <c:v>0.8</c:v>
                </c:pt>
                <c:pt idx="5">
                  <c:v>0.8</c:v>
                </c:pt>
                <c:pt idx="6">
                  <c:v>0.8</c:v>
                </c:pt>
                <c:pt idx="7">
                  <c:v>0.8</c:v>
                </c:pt>
                <c:pt idx="8">
                  <c:v>0.8</c:v>
                </c:pt>
                <c:pt idx="9">
                  <c:v>0.8</c:v>
                </c:pt>
                <c:pt idx="10">
                  <c:v>0.8</c:v>
                </c:pt>
                <c:pt idx="11">
                  <c:v>#N/A</c:v>
                </c:pt>
              </c:numCache>
            </c:numRef>
          </c:val>
          <c:extLst>
            <c:ext xmlns:c16="http://schemas.microsoft.com/office/drawing/2014/chart" uri="{C3380CC4-5D6E-409C-BE32-E72D297353CC}">
              <c16:uniqueId val="{00000004-2F48-4C18-932A-1FD4E2F2C19D}"/>
            </c:ext>
          </c:extLst>
        </c:ser>
        <c:ser>
          <c:idx val="1"/>
          <c:order val="4"/>
          <c:tx>
            <c:strRef>
              <c:f>Processing!$C$76</c:f>
              <c:strCache>
                <c:ptCount val="1"/>
                <c:pt idx="0">
                  <c:v>Cursor 2023</c:v>
                </c:pt>
              </c:strCache>
            </c:strRef>
          </c:tx>
          <c:spPr>
            <a:gradFill>
              <a:gsLst>
                <a:gs pos="0">
                  <a:srgbClr val="01EFFA"/>
                </a:gs>
                <a:gs pos="100000">
                  <a:srgbClr val="16BBC9"/>
                </a:gs>
              </a:gsLst>
              <a:lin ang="5400000" scaled="1"/>
            </a:gradFill>
            <a:ln w="130175">
              <a:gradFill>
                <a:gsLst>
                  <a:gs pos="0">
                    <a:srgbClr val="01EFFA"/>
                  </a:gs>
                  <a:gs pos="100000">
                    <a:srgbClr val="16BBC9"/>
                  </a:gs>
                </a:gsLst>
                <a:lin ang="5400000" scaled="1"/>
              </a:gradFill>
            </a:ln>
            <a:effectLst>
              <a:outerShdw blurRad="50800" dist="38100" dir="2700000" algn="tl" rotWithShape="0">
                <a:prstClr val="black">
                  <a:alpha val="19000"/>
                </a:prstClr>
              </a:outerShdw>
            </a:effectLst>
          </c:spPr>
          <c:invertIfNegative val="0"/>
          <c:dLbls>
            <c:spPr>
              <a:solidFill>
                <a:schemeClr val="bg1">
                  <a:alpha val="61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Processing!$A$77:$A$88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Processing!$C$77:$C$88</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5-2F48-4C18-932A-1FD4E2F2C19D}"/>
            </c:ext>
          </c:extLst>
        </c:ser>
        <c:ser>
          <c:idx val="3"/>
          <c:order val="5"/>
          <c:tx>
            <c:strRef>
              <c:f>Processing!$E$76</c:f>
              <c:strCache>
                <c:ptCount val="1"/>
                <c:pt idx="0">
                  <c:v>Cursor 2024</c:v>
                </c:pt>
              </c:strCache>
            </c:strRef>
          </c:tx>
          <c:spPr>
            <a:gradFill>
              <a:gsLst>
                <a:gs pos="0">
                  <a:srgbClr val="29A3FF"/>
                </a:gs>
                <a:gs pos="100000">
                  <a:srgbClr val="0077D0"/>
                </a:gs>
              </a:gsLst>
              <a:lin ang="5400000" scaled="1"/>
            </a:gradFill>
            <a:ln w="127000">
              <a:gradFill>
                <a:gsLst>
                  <a:gs pos="0">
                    <a:srgbClr val="29A3FF"/>
                  </a:gs>
                  <a:gs pos="100000">
                    <a:srgbClr val="0077D0"/>
                  </a:gs>
                </a:gsLst>
                <a:lin ang="5400000" scaled="1"/>
              </a:gradFill>
            </a:ln>
            <a:effectLst>
              <a:outerShdw blurRad="50800" dist="38100" dir="2700000" algn="tl" rotWithShape="0">
                <a:prstClr val="black">
                  <a:alpha val="19000"/>
                </a:prstClr>
              </a:outerShdw>
            </a:effectLst>
          </c:spPr>
          <c:invertIfNegative val="0"/>
          <c:dLbls>
            <c:spPr>
              <a:solidFill>
                <a:schemeClr val="bg2">
                  <a:lumMod val="90000"/>
                  <a:alpha val="19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Processing!$A$77:$A$88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Processing!$E$77:$E$88</c:f>
              <c:numCache>
                <c:formatCode>General</c:formatCode>
                <c:ptCount val="12"/>
                <c:pt idx="0">
                  <c:v>#N/A</c:v>
                </c:pt>
                <c:pt idx="1">
                  <c:v>#N/A</c:v>
                </c:pt>
                <c:pt idx="2">
                  <c:v>12</c:v>
                </c:pt>
                <c:pt idx="3">
                  <c:v>15</c:v>
                </c:pt>
                <c:pt idx="4">
                  <c:v>8</c:v>
                </c:pt>
                <c:pt idx="5">
                  <c:v>7</c:v>
                </c:pt>
                <c:pt idx="6">
                  <c:v>7</c:v>
                </c:pt>
                <c:pt idx="7">
                  <c:v>14</c:v>
                </c:pt>
                <c:pt idx="8">
                  <c:v>15</c:v>
                </c:pt>
                <c:pt idx="9">
                  <c:v>16</c:v>
                </c:pt>
                <c:pt idx="10">
                  <c:v>9</c:v>
                </c:pt>
                <c:pt idx="11">
                  <c:v>#N/A</c:v>
                </c:pt>
              </c:numCache>
            </c:numRef>
          </c:val>
          <c:extLst>
            <c:ext xmlns:c16="http://schemas.microsoft.com/office/drawing/2014/chart" uri="{C3380CC4-5D6E-409C-BE32-E72D297353CC}">
              <c16:uniqueId val="{00000006-2F48-4C18-932A-1FD4E2F2C19D}"/>
            </c:ext>
          </c:extLst>
        </c:ser>
        <c:dLbls>
          <c:showLegendKey val="0"/>
          <c:showVal val="0"/>
          <c:showCatName val="0"/>
          <c:showSerName val="0"/>
          <c:showPercent val="0"/>
          <c:showBubbleSize val="0"/>
        </c:dLbls>
        <c:gapWidth val="270"/>
        <c:overlap val="100"/>
        <c:axId val="1682821888"/>
        <c:axId val="1682814688"/>
      </c:barChart>
      <c:catAx>
        <c:axId val="168292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902048"/>
        <c:crosses val="autoZero"/>
        <c:auto val="1"/>
        <c:lblAlgn val="ctr"/>
        <c:lblOffset val="100"/>
        <c:noMultiLvlLbl val="0"/>
      </c:catAx>
      <c:valAx>
        <c:axId val="168290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82928448"/>
        <c:crosses val="autoZero"/>
        <c:crossBetween val="between"/>
      </c:valAx>
      <c:valAx>
        <c:axId val="1682814688"/>
        <c:scaling>
          <c:orientation val="minMax"/>
        </c:scaling>
        <c:delete val="1"/>
        <c:axPos val="r"/>
        <c:numFmt formatCode="General" sourceLinked="1"/>
        <c:majorTickMark val="out"/>
        <c:minorTickMark val="none"/>
        <c:tickLblPos val="nextTo"/>
        <c:crossAx val="1682821888"/>
        <c:crosses val="max"/>
        <c:crossBetween val="between"/>
      </c:valAx>
      <c:catAx>
        <c:axId val="1682821888"/>
        <c:scaling>
          <c:orientation val="minMax"/>
        </c:scaling>
        <c:delete val="1"/>
        <c:axPos val="b"/>
        <c:numFmt formatCode="General" sourceLinked="1"/>
        <c:majorTickMark val="out"/>
        <c:minorTickMark val="none"/>
        <c:tickLblPos val="nextTo"/>
        <c:crossAx val="168281468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271317829457363E-2"/>
          <c:y val="0.14423076923076922"/>
          <c:w val="0.8294573643410853"/>
          <c:h val="0.71153846153846156"/>
        </c:manualLayout>
      </c:layout>
      <c:barChart>
        <c:barDir val="col"/>
        <c:grouping val="clustered"/>
        <c:varyColors val="0"/>
        <c:ser>
          <c:idx val="0"/>
          <c:order val="0"/>
          <c:spPr>
            <a:gradFill flip="none" rotWithShape="1">
              <a:gsLst>
                <a:gs pos="0">
                  <a:srgbClr val="FF00FF"/>
                </a:gs>
                <a:gs pos="100000">
                  <a:srgbClr val="9E78F9"/>
                </a:gs>
              </a:gsLst>
              <a:lin ang="5400000" scaled="0"/>
              <a:tileRect/>
            </a:gradFill>
            <a:ln>
              <a:noFill/>
            </a:ln>
            <a:effectLst/>
          </c:spPr>
          <c:invertIfNegative val="0"/>
          <c:dPt>
            <c:idx val="0"/>
            <c:invertIfNegative val="0"/>
            <c:bubble3D val="0"/>
            <c:spPr>
              <a:gradFill flip="none" rotWithShape="1">
                <a:gsLst>
                  <a:gs pos="0">
                    <a:srgbClr val="FF00FF">
                      <a:alpha val="50000"/>
                    </a:srgbClr>
                  </a:gs>
                  <a:gs pos="100000">
                    <a:srgbClr val="987CF0">
                      <a:alpha val="35000"/>
                    </a:srgbClr>
                  </a:gs>
                </a:gsLst>
                <a:lin ang="5400000" scaled="0"/>
                <a:tileRect/>
              </a:gradFill>
              <a:ln>
                <a:noFill/>
              </a:ln>
              <a:effectLst/>
            </c:spPr>
            <c:extLst>
              <c:ext xmlns:c16="http://schemas.microsoft.com/office/drawing/2014/chart" uri="{C3380CC4-5D6E-409C-BE32-E72D297353CC}">
                <c16:uniqueId val="{00000001-C8D4-44E7-97FC-3AF0C983B984}"/>
              </c:ext>
            </c:extLst>
          </c:dPt>
          <c:dPt>
            <c:idx val="1"/>
            <c:invertIfNegative val="0"/>
            <c:bubble3D val="0"/>
            <c:spPr>
              <a:gradFill flip="none" rotWithShape="1">
                <a:gsLst>
                  <a:gs pos="0">
                    <a:srgbClr val="FF00FF"/>
                  </a:gs>
                  <a:gs pos="100000">
                    <a:srgbClr val="987CF0"/>
                  </a:gs>
                </a:gsLst>
                <a:lin ang="5400000" scaled="0"/>
                <a:tileRect/>
              </a:gradFill>
              <a:ln>
                <a:noFill/>
              </a:ln>
              <a:effectLst/>
            </c:spPr>
            <c:extLst>
              <c:ext xmlns:c16="http://schemas.microsoft.com/office/drawing/2014/chart" uri="{C3380CC4-5D6E-409C-BE32-E72D297353CC}">
                <c16:uniqueId val="{00000003-C8D4-44E7-97FC-3AF0C983B984}"/>
              </c:ext>
            </c:extLst>
          </c:dPt>
          <c:dLbls>
            <c:spPr>
              <a:noFill/>
              <a:ln>
                <a:noFill/>
              </a:ln>
              <a:effectLst/>
            </c:spPr>
            <c:txPr>
              <a:bodyPr wrap="square" lIns="38100" tIns="19050" rIns="38100" bIns="19050" anchor="ctr">
                <a:spAutoFit/>
              </a:bodyPr>
              <a:lstStyle/>
              <a:p>
                <a:pPr>
                  <a:defRPr sz="1100">
                    <a:solidFill>
                      <a:srgbClr val="4A659C"/>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Processing!$A$96:$A$97</c:f>
              <c:strCache>
                <c:ptCount val="2"/>
                <c:pt idx="0">
                  <c:v>2023</c:v>
                </c:pt>
                <c:pt idx="1">
                  <c:v>2024</c:v>
                </c:pt>
              </c:strCache>
            </c:strRef>
          </c:cat>
          <c:val>
            <c:numRef>
              <c:f>Processing!$B$96:$B$97</c:f>
              <c:numCache>
                <c:formatCode>_(* #,##0_);_(* \(#,##0\);_(* "-"??_);_(@_)</c:formatCode>
                <c:ptCount val="2"/>
                <c:pt idx="0">
                  <c:v>8070</c:v>
                </c:pt>
                <c:pt idx="1">
                  <c:v>9283</c:v>
                </c:pt>
              </c:numCache>
            </c:numRef>
          </c:val>
          <c:extLst>
            <c:ext xmlns:c16="http://schemas.microsoft.com/office/drawing/2014/chart" uri="{C3380CC4-5D6E-409C-BE32-E72D297353CC}">
              <c16:uniqueId val="{00000004-C8D4-44E7-97FC-3AF0C983B984}"/>
            </c:ext>
          </c:extLst>
        </c:ser>
        <c:dLbls>
          <c:dLblPos val="outEnd"/>
          <c:showLegendKey val="0"/>
          <c:showVal val="1"/>
          <c:showCatName val="0"/>
          <c:showSerName val="0"/>
          <c:showPercent val="0"/>
          <c:showBubbleSize val="0"/>
        </c:dLbls>
        <c:gapWidth val="80"/>
        <c:overlap val="-27"/>
        <c:axId val="29424799"/>
        <c:axId val="29411359"/>
      </c:barChart>
      <c:catAx>
        <c:axId val="29424799"/>
        <c:scaling>
          <c:orientation val="minMax"/>
        </c:scaling>
        <c:delete val="0"/>
        <c:axPos val="b"/>
        <c:numFmt formatCode="General" sourceLinked="1"/>
        <c:majorTickMark val="out"/>
        <c:minorTickMark val="none"/>
        <c:tickLblPos val="nextTo"/>
        <c:spPr>
          <a:noFill/>
          <a:ln w="9525" cap="flat" cmpd="sng" algn="ctr">
            <a:solidFill>
              <a:srgbClr val="4A659C">
                <a:alpha val="46000"/>
              </a:srgbClr>
            </a:solidFill>
            <a:round/>
          </a:ln>
          <a:effectLst/>
        </c:spPr>
        <c:txPr>
          <a:bodyPr rot="-60000000" spcFirstLastPara="1" vertOverflow="ellipsis" vert="horz" wrap="square" anchor="ctr" anchorCtr="1"/>
          <a:lstStyle/>
          <a:p>
            <a:pPr>
              <a:defRPr sz="900" b="0" i="0" u="none" strike="noStrike" kern="1200" baseline="0">
                <a:solidFill>
                  <a:srgbClr val="4A659C"/>
                </a:solidFill>
                <a:latin typeface="+mn-lt"/>
                <a:ea typeface="+mn-ea"/>
                <a:cs typeface="+mn-cs"/>
              </a:defRPr>
            </a:pPr>
            <a:endParaRPr lang="en-US"/>
          </a:p>
        </c:txPr>
        <c:crossAx val="29411359"/>
        <c:crosses val="autoZero"/>
        <c:auto val="1"/>
        <c:lblAlgn val="ctr"/>
        <c:lblOffset val="100"/>
        <c:noMultiLvlLbl val="0"/>
      </c:catAx>
      <c:valAx>
        <c:axId val="29411359"/>
        <c:scaling>
          <c:orientation val="minMax"/>
          <c:min val="0"/>
        </c:scaling>
        <c:delete val="1"/>
        <c:axPos val="l"/>
        <c:majorGridlines>
          <c:spPr>
            <a:ln w="9525" cap="flat" cmpd="sng" algn="ctr">
              <a:solidFill>
                <a:schemeClr val="tx1">
                  <a:lumMod val="15000"/>
                  <a:lumOff val="85000"/>
                  <a:alpha val="90000"/>
                </a:schemeClr>
              </a:solidFill>
              <a:prstDash val="dash"/>
              <a:round/>
            </a:ln>
            <a:effectLst/>
          </c:spPr>
        </c:majorGridlines>
        <c:numFmt formatCode="_(* #,##0_);_(* \(#,##0\);_(* &quot;-&quot;??_);_(@_)" sourceLinked="1"/>
        <c:majorTickMark val="out"/>
        <c:minorTickMark val="none"/>
        <c:tickLblPos val="nextTo"/>
        <c:crossAx val="2942479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30010852324903"/>
          <c:y val="8.0808080808080815E-2"/>
          <c:w val="0.66366140746306046"/>
          <c:h val="0.80303030303030309"/>
        </c:manualLayout>
      </c:layout>
      <c:doughnutChart>
        <c:varyColors val="1"/>
        <c:ser>
          <c:idx val="0"/>
          <c:order val="0"/>
          <c:tx>
            <c:strRef>
              <c:f>Processing!$B$103</c:f>
              <c:strCache>
                <c:ptCount val="1"/>
                <c:pt idx="0">
                  <c:v>QTY</c:v>
                </c:pt>
              </c:strCache>
            </c:strRef>
          </c:tx>
          <c:spPr>
            <a:ln>
              <a:noFill/>
            </a:ln>
            <a:effectLst>
              <a:outerShdw blurRad="279400" dist="165100" dir="8100000" algn="tr" rotWithShape="0">
                <a:prstClr val="black">
                  <a:alpha val="40000"/>
                </a:prstClr>
              </a:outerShdw>
            </a:effectLst>
          </c:spPr>
          <c:dPt>
            <c:idx val="0"/>
            <c:bubble3D val="0"/>
            <c:spPr>
              <a:gradFill>
                <a:gsLst>
                  <a:gs pos="0">
                    <a:srgbClr val="D56EE6"/>
                  </a:gs>
                  <a:gs pos="100000">
                    <a:srgbClr val="C370F5"/>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1-E547-48A4-BC8C-4847B2B7AA39}"/>
              </c:ext>
            </c:extLst>
          </c:dPt>
          <c:dPt>
            <c:idx val="1"/>
            <c:bubble3D val="0"/>
            <c:spPr>
              <a:gradFill>
                <a:gsLst>
                  <a:gs pos="0">
                    <a:srgbClr val="5BD4E3"/>
                  </a:gs>
                  <a:gs pos="100000">
                    <a:srgbClr val="5DB5FE"/>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3-E547-48A4-BC8C-4847B2B7AA39}"/>
              </c:ext>
            </c:extLst>
          </c:dPt>
          <c:dPt>
            <c:idx val="2"/>
            <c:bubble3D val="0"/>
            <c:spPr>
              <a:noFill/>
              <a:ln w="19050">
                <a:noFill/>
              </a:ln>
              <a:effectLst/>
            </c:spPr>
            <c:extLst>
              <c:ext xmlns:c16="http://schemas.microsoft.com/office/drawing/2014/chart" uri="{C3380CC4-5D6E-409C-BE32-E72D297353CC}">
                <c16:uniqueId val="{00000005-E547-48A4-BC8C-4847B2B7AA39}"/>
              </c:ext>
            </c:extLst>
          </c:dPt>
          <c:dPt>
            <c:idx val="3"/>
            <c:bubble3D val="0"/>
            <c:spPr>
              <a:noFill/>
              <a:ln w="19050">
                <a:noFill/>
              </a:ln>
              <a:effectLst/>
            </c:spPr>
            <c:extLst>
              <c:ext xmlns:c16="http://schemas.microsoft.com/office/drawing/2014/chart" uri="{C3380CC4-5D6E-409C-BE32-E72D297353CC}">
                <c16:uniqueId val="{00000007-E547-48A4-BC8C-4847B2B7AA39}"/>
              </c:ext>
            </c:extLst>
          </c:dPt>
          <c:cat>
            <c:strRef>
              <c:f>Processing!$A$104:$A$106</c:f>
              <c:strCache>
                <c:ptCount val="3"/>
                <c:pt idx="0">
                  <c:v>Accessories</c:v>
                </c:pt>
                <c:pt idx="1">
                  <c:v>Electronics</c:v>
                </c:pt>
                <c:pt idx="2">
                  <c:v>Hardware</c:v>
                </c:pt>
              </c:strCache>
            </c:strRef>
          </c:cat>
          <c:val>
            <c:numRef>
              <c:f>Processing!$B$104:$B$106</c:f>
              <c:numCache>
                <c:formatCode>_(* #,##0_);_(* \(#,##0\);_(* "-"??_);_(@_)</c:formatCode>
                <c:ptCount val="3"/>
                <c:pt idx="0">
                  <c:v>7540</c:v>
                </c:pt>
                <c:pt idx="1">
                  <c:v>8166</c:v>
                </c:pt>
                <c:pt idx="2">
                  <c:v>6726</c:v>
                </c:pt>
              </c:numCache>
            </c:numRef>
          </c:val>
          <c:extLst>
            <c:ext xmlns:c16="http://schemas.microsoft.com/office/drawing/2014/chart" uri="{C3380CC4-5D6E-409C-BE32-E72D297353CC}">
              <c16:uniqueId val="{00000008-E547-48A4-BC8C-4847B2B7AA39}"/>
            </c:ext>
          </c:extLst>
        </c:ser>
        <c:dLbls>
          <c:showLegendKey val="0"/>
          <c:showVal val="0"/>
          <c:showCatName val="0"/>
          <c:showSerName val="0"/>
          <c:showPercent val="0"/>
          <c:showBubbleSize val="0"/>
          <c:showLeaderLines val="1"/>
        </c:dLbls>
        <c:firstSliceAng val="0"/>
        <c:holeSize val="59"/>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Processing!$D$22" lockText="1" noThreeD="1"/>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hyperlink" Target="#Dataset!A1"/><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hyperlink" Target="#Pivot!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Operations!A1"/><Relationship Id="rId5" Type="http://schemas.openxmlformats.org/officeDocument/2006/relationships/chart" Target="../charts/chart5.xml"/><Relationship Id="rId10" Type="http://schemas.openxmlformats.org/officeDocument/2006/relationships/hyperlink" Target="#Dashboard!A1"/><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hyperlink" Target="#Insights!A1"/></Relationships>
</file>

<file path=xl/drawings/_rels/drawing3.xml.rels><?xml version="1.0" encoding="UTF-8" standalone="yes"?>
<Relationships xmlns="http://schemas.openxmlformats.org/package/2006/relationships"><Relationship Id="rId8" Type="http://schemas.openxmlformats.org/officeDocument/2006/relationships/hyperlink" Target="#Dashboard!A1"/><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hyperlink" Target="#Insights!A1"/><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hyperlink" Target="#Dataset!A1"/><Relationship Id="rId5" Type="http://schemas.openxmlformats.org/officeDocument/2006/relationships/chart" Target="../charts/chart14.xml"/><Relationship Id="rId10" Type="http://schemas.openxmlformats.org/officeDocument/2006/relationships/hyperlink" Target="#Pivot!A1"/><Relationship Id="rId4" Type="http://schemas.openxmlformats.org/officeDocument/2006/relationships/chart" Target="../charts/chart13.xml"/><Relationship Id="rId9" Type="http://schemas.openxmlformats.org/officeDocument/2006/relationships/hyperlink" Target="#Operations!A1"/></Relationships>
</file>

<file path=xl/drawings/_rels/drawing4.xml.rels><?xml version="1.0" encoding="UTF-8" standalone="yes"?>
<Relationships xmlns="http://schemas.openxmlformats.org/package/2006/relationships"><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hyperlink" Target="#Pivot!A1"/><Relationship Id="rId2" Type="http://schemas.openxmlformats.org/officeDocument/2006/relationships/hyperlink" Target="#Operations!A1"/><Relationship Id="rId1" Type="http://schemas.openxmlformats.org/officeDocument/2006/relationships/hyperlink" Target="#Dashboard!A1"/><Relationship Id="rId5" Type="http://schemas.openxmlformats.org/officeDocument/2006/relationships/hyperlink" Target="#Insights!A1"/><Relationship Id="rId4" Type="http://schemas.openxmlformats.org/officeDocument/2006/relationships/hyperlink" Target="#Dataset!A1"/></Relationships>
</file>

<file path=xl/drawings/drawing1.xml><?xml version="1.0" encoding="utf-8"?>
<xdr:wsDr xmlns:xdr="http://schemas.openxmlformats.org/drawingml/2006/spreadsheetDrawing" xmlns:a="http://schemas.openxmlformats.org/drawingml/2006/main">
  <xdr:twoCellAnchor>
    <xdr:from>
      <xdr:col>6</xdr:col>
      <xdr:colOff>0</xdr:colOff>
      <xdr:row>1</xdr:row>
      <xdr:rowOff>0</xdr:rowOff>
    </xdr:from>
    <xdr:to>
      <xdr:col>6</xdr:col>
      <xdr:colOff>746174</xdr:colOff>
      <xdr:row>4</xdr:row>
      <xdr:rowOff>36613</xdr:rowOff>
    </xdr:to>
    <xdr:grpSp>
      <xdr:nvGrpSpPr>
        <xdr:cNvPr id="26" name="Graphic 4">
          <a:hlinkClick xmlns:r="http://schemas.openxmlformats.org/officeDocument/2006/relationships" r:id="rId1"/>
          <a:extLst>
            <a:ext uri="{FF2B5EF4-FFF2-40B4-BE49-F238E27FC236}">
              <a16:creationId xmlns:a16="http://schemas.microsoft.com/office/drawing/2014/main" id="{00000000-0008-0000-0000-00001A000000}"/>
            </a:ext>
          </a:extLst>
        </xdr:cNvPr>
        <xdr:cNvGrpSpPr/>
      </xdr:nvGrpSpPr>
      <xdr:grpSpPr>
        <a:xfrm flipH="1">
          <a:off x="5562600" y="182880"/>
          <a:ext cx="746174" cy="600493"/>
          <a:chOff x="12988652" y="613473"/>
          <a:chExt cx="758543" cy="613199"/>
        </a:xfrm>
        <a:solidFill>
          <a:schemeClr val="bg1"/>
        </a:solidFill>
        <a:effectLst>
          <a:glow rad="63500">
            <a:schemeClr val="accent1">
              <a:satMod val="175000"/>
              <a:alpha val="40000"/>
            </a:schemeClr>
          </a:glow>
        </a:effectLst>
      </xdr:grpSpPr>
      <xdr:sp macro="" textlink="">
        <xdr:nvSpPr>
          <xdr:cNvPr id="27" name="Freeform: Shape 26">
            <a:extLst>
              <a:ext uri="{FF2B5EF4-FFF2-40B4-BE49-F238E27FC236}">
                <a16:creationId xmlns:a16="http://schemas.microsoft.com/office/drawing/2014/main" id="{00000000-0008-0000-0000-00001B000000}"/>
              </a:ext>
            </a:extLst>
          </xdr:cNvPr>
          <xdr:cNvSpPr/>
        </xdr:nvSpPr>
        <xdr:spPr>
          <a:xfrm>
            <a:off x="13078748" y="710706"/>
            <a:ext cx="668447" cy="515967"/>
          </a:xfrm>
          <a:custGeom>
            <a:avLst/>
            <a:gdLst>
              <a:gd name="connsiteX0" fmla="*/ 675 w 668447"/>
              <a:gd name="connsiteY0" fmla="*/ 260893 h 515967"/>
              <a:gd name="connsiteX1" fmla="*/ 675 w 668447"/>
              <a:gd name="connsiteY1" fmla="*/ 439258 h 515967"/>
              <a:gd name="connsiteX2" fmla="*/ 77767 w 668447"/>
              <a:gd name="connsiteY2" fmla="*/ 515789 h 515967"/>
              <a:gd name="connsiteX3" fmla="*/ 597360 w 668447"/>
              <a:gd name="connsiteY3" fmla="*/ 515789 h 515967"/>
              <a:gd name="connsiteX4" fmla="*/ 668462 w 668447"/>
              <a:gd name="connsiteY4" fmla="*/ 437761 h 515967"/>
              <a:gd name="connsiteX5" fmla="*/ 668462 w 668447"/>
              <a:gd name="connsiteY5" fmla="*/ 76731 h 515967"/>
              <a:gd name="connsiteX6" fmla="*/ 609478 w 668447"/>
              <a:gd name="connsiteY6" fmla="*/ 6 h 515967"/>
              <a:gd name="connsiteX7" fmla="*/ 356687 w 668447"/>
              <a:gd name="connsiteY7" fmla="*/ 6 h 515967"/>
              <a:gd name="connsiteX8" fmla="*/ 442004 w 668447"/>
              <a:gd name="connsiteY8" fmla="*/ 82327 h 515967"/>
              <a:gd name="connsiteX9" fmla="*/ 582651 w 668447"/>
              <a:gd name="connsiteY9" fmla="*/ 82327 h 515967"/>
              <a:gd name="connsiteX10" fmla="*/ 582651 w 668447"/>
              <a:gd name="connsiteY10" fmla="*/ 431196 h 515967"/>
              <a:gd name="connsiteX11" fmla="*/ 84049 w 668447"/>
              <a:gd name="connsiteY11" fmla="*/ 431196 h 515967"/>
              <a:gd name="connsiteX12" fmla="*/ 84049 w 668447"/>
              <a:gd name="connsiteY12" fmla="*/ 328303 h 5159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68447" h="515967">
                <a:moveTo>
                  <a:pt x="675" y="260893"/>
                </a:moveTo>
                <a:lnTo>
                  <a:pt x="675" y="439258"/>
                </a:lnTo>
                <a:cubicBezTo>
                  <a:pt x="-5296" y="502439"/>
                  <a:pt x="44978" y="517896"/>
                  <a:pt x="77767" y="515789"/>
                </a:cubicBezTo>
                <a:lnTo>
                  <a:pt x="597360" y="515789"/>
                </a:lnTo>
                <a:cubicBezTo>
                  <a:pt x="658001" y="511838"/>
                  <a:pt x="668462" y="475781"/>
                  <a:pt x="668462" y="437761"/>
                </a:cubicBezTo>
                <a:lnTo>
                  <a:pt x="668462" y="76731"/>
                </a:lnTo>
                <a:cubicBezTo>
                  <a:pt x="671308" y="26516"/>
                  <a:pt x="638485" y="2112"/>
                  <a:pt x="609478" y="6"/>
                </a:cubicBezTo>
                <a:lnTo>
                  <a:pt x="356687" y="6"/>
                </a:lnTo>
                <a:lnTo>
                  <a:pt x="442004" y="82327"/>
                </a:lnTo>
                <a:lnTo>
                  <a:pt x="582651" y="82327"/>
                </a:lnTo>
                <a:lnTo>
                  <a:pt x="582651" y="431196"/>
                </a:lnTo>
                <a:lnTo>
                  <a:pt x="84049" y="431196"/>
                </a:lnTo>
                <a:lnTo>
                  <a:pt x="84049" y="328303"/>
                </a:lnTo>
                <a:close/>
              </a:path>
            </a:pathLst>
          </a:custGeom>
          <a:grpFill/>
          <a:ln w="14865" cap="flat">
            <a:solidFill>
              <a:srgbClr val="206DF5"/>
            </a:solidFill>
            <a:prstDash val="solid"/>
            <a:miter/>
          </a:ln>
        </xdr:spPr>
        <xdr:txBody>
          <a:bodyPr rtlCol="0" anchor="ctr"/>
          <a:lstStyle/>
          <a:p>
            <a:endParaRPr lang="ru-RU"/>
          </a:p>
        </xdr:txBody>
      </xdr:sp>
      <xdr:sp macro="" textlink="">
        <xdr:nvSpPr>
          <xdr:cNvPr id="28" name="Freeform: Shape 27">
            <a:extLst>
              <a:ext uri="{FF2B5EF4-FFF2-40B4-BE49-F238E27FC236}">
                <a16:creationId xmlns:a16="http://schemas.microsoft.com/office/drawing/2014/main" id="{00000000-0008-0000-0000-00001C000000}"/>
              </a:ext>
            </a:extLst>
          </xdr:cNvPr>
          <xdr:cNvSpPr/>
        </xdr:nvSpPr>
        <xdr:spPr>
          <a:xfrm>
            <a:off x="12988652" y="613473"/>
            <a:ext cx="570884" cy="421316"/>
          </a:xfrm>
          <a:custGeom>
            <a:avLst/>
            <a:gdLst>
              <a:gd name="connsiteX0" fmla="*/ 229737 w 570884"/>
              <a:gd name="connsiteY0" fmla="*/ -65 h 421316"/>
              <a:gd name="connsiteX1" fmla="*/ 119 w 570884"/>
              <a:gd name="connsiteY1" fmla="*/ 187421 h 421316"/>
              <a:gd name="connsiteX2" fmla="*/ 231844 w 570884"/>
              <a:gd name="connsiteY2" fmla="*/ 379120 h 421316"/>
              <a:gd name="connsiteX3" fmla="*/ 231844 w 570884"/>
              <a:gd name="connsiteY3" fmla="*/ 284324 h 421316"/>
              <a:gd name="connsiteX4" fmla="*/ 571004 w 570884"/>
              <a:gd name="connsiteY4" fmla="*/ 421252 h 421316"/>
              <a:gd name="connsiteX5" fmla="*/ 231844 w 570884"/>
              <a:gd name="connsiteY5" fmla="*/ 94731 h 421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70884" h="421316">
                <a:moveTo>
                  <a:pt x="229737" y="-65"/>
                </a:moveTo>
                <a:lnTo>
                  <a:pt x="119" y="187421"/>
                </a:lnTo>
                <a:lnTo>
                  <a:pt x="231844" y="379120"/>
                </a:lnTo>
                <a:lnTo>
                  <a:pt x="231844" y="284324"/>
                </a:lnTo>
                <a:cubicBezTo>
                  <a:pt x="348285" y="257264"/>
                  <a:pt x="485223" y="337279"/>
                  <a:pt x="571004" y="421252"/>
                </a:cubicBezTo>
                <a:cubicBezTo>
                  <a:pt x="527699" y="285344"/>
                  <a:pt x="496117" y="132256"/>
                  <a:pt x="231844" y="94731"/>
                </a:cubicBezTo>
                <a:close/>
              </a:path>
            </a:pathLst>
          </a:custGeom>
          <a:grpFill/>
          <a:ln w="14865" cap="flat">
            <a:solidFill>
              <a:srgbClr val="206DF5"/>
            </a:solidFill>
            <a:prstDash val="solid"/>
            <a:miter/>
          </a:ln>
        </xdr:spPr>
        <xdr:txBody>
          <a:bodyPr rtlCol="0" anchor="ctr"/>
          <a:lstStyle/>
          <a:p>
            <a:endParaRPr lang="ru-RU"/>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544647</xdr:colOff>
      <xdr:row>0</xdr:row>
      <xdr:rowOff>137160</xdr:rowOff>
    </xdr:from>
    <xdr:to>
      <xdr:col>20</xdr:col>
      <xdr:colOff>125318</xdr:colOff>
      <xdr:row>35</xdr:row>
      <xdr:rowOff>156781</xdr:rowOff>
    </xdr:to>
    <xdr:grpSp>
      <xdr:nvGrpSpPr>
        <xdr:cNvPr id="2" name="Group 1">
          <a:extLst>
            <a:ext uri="{FF2B5EF4-FFF2-40B4-BE49-F238E27FC236}">
              <a16:creationId xmlns:a16="http://schemas.microsoft.com/office/drawing/2014/main" id="{00000000-0008-0000-0100-000002000000}"/>
            </a:ext>
          </a:extLst>
        </xdr:cNvPr>
        <xdr:cNvGrpSpPr/>
      </xdr:nvGrpSpPr>
      <xdr:grpSpPr>
        <a:xfrm>
          <a:off x="544647" y="137160"/>
          <a:ext cx="11827100" cy="6448996"/>
          <a:chOff x="258097" y="108065"/>
          <a:chExt cx="11370478" cy="6420421"/>
        </a:xfrm>
      </xdr:grpSpPr>
      <xdr:sp macro="" textlink="">
        <xdr:nvSpPr>
          <xdr:cNvPr id="3" name="Rectangle: Rounded Corners 2">
            <a:extLst>
              <a:ext uri="{FF2B5EF4-FFF2-40B4-BE49-F238E27FC236}">
                <a16:creationId xmlns:a16="http://schemas.microsoft.com/office/drawing/2014/main" id="{00000000-0008-0000-0100-000003000000}"/>
              </a:ext>
            </a:extLst>
          </xdr:cNvPr>
          <xdr:cNvSpPr/>
        </xdr:nvSpPr>
        <xdr:spPr>
          <a:xfrm>
            <a:off x="263929" y="166241"/>
            <a:ext cx="11364646" cy="6362245"/>
          </a:xfrm>
          <a:prstGeom prst="roundRect">
            <a:avLst>
              <a:gd name="adj" fmla="val 4725"/>
            </a:avLst>
          </a:prstGeom>
          <a:gradFill flip="none" rotWithShape="1">
            <a:gsLst>
              <a:gs pos="0">
                <a:srgbClr val="9FB0C8"/>
              </a:gs>
              <a:gs pos="100000">
                <a:srgbClr val="8DA0BD"/>
              </a:gs>
            </a:gsLst>
            <a:path path="circle">
              <a:fillToRect r="100000" b="100000"/>
            </a:path>
            <a:tileRect l="-100000" t="-100000"/>
          </a:gradFill>
          <a:ln>
            <a:noFill/>
          </a:ln>
          <a:effectLst>
            <a:outerShdw blurRad="698500" dist="127000" dir="2700000" algn="tl" rotWithShape="0">
              <a:srgbClr val="3D506B">
                <a:alpha val="9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sp macro="" textlink="">
        <xdr:nvSpPr>
          <xdr:cNvPr id="4" name="Freeform: Shape 3">
            <a:extLst>
              <a:ext uri="{FF2B5EF4-FFF2-40B4-BE49-F238E27FC236}">
                <a16:creationId xmlns:a16="http://schemas.microsoft.com/office/drawing/2014/main" id="{00000000-0008-0000-0100-000004000000}"/>
              </a:ext>
            </a:extLst>
          </xdr:cNvPr>
          <xdr:cNvSpPr/>
        </xdr:nvSpPr>
        <xdr:spPr>
          <a:xfrm>
            <a:off x="258097" y="108065"/>
            <a:ext cx="11364646" cy="615753"/>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gradFill flip="none" rotWithShape="1">
            <a:gsLst>
              <a:gs pos="0">
                <a:srgbClr val="212743"/>
              </a:gs>
              <a:gs pos="100000">
                <a:srgbClr val="202644"/>
              </a:gs>
            </a:gsLst>
            <a:lin ang="54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clientData/>
  </xdr:twoCellAnchor>
  <xdr:twoCellAnchor>
    <xdr:from>
      <xdr:col>5</xdr:col>
      <xdr:colOff>450006</xdr:colOff>
      <xdr:row>1</xdr:row>
      <xdr:rowOff>85619</xdr:rowOff>
    </xdr:from>
    <xdr:to>
      <xdr:col>7</xdr:col>
      <xdr:colOff>526997</xdr:colOff>
      <xdr:row>3</xdr:row>
      <xdr:rowOff>90562</xdr:rowOff>
    </xdr:to>
    <xdr:sp macro="" textlink="">
      <xdr:nvSpPr>
        <xdr:cNvPr id="5" name="Rectangle: Rounded Corners 4">
          <a:extLst>
            <a:ext uri="{FF2B5EF4-FFF2-40B4-BE49-F238E27FC236}">
              <a16:creationId xmlns:a16="http://schemas.microsoft.com/office/drawing/2014/main" id="{00000000-0008-0000-0100-000005000000}"/>
            </a:ext>
          </a:extLst>
        </xdr:cNvPr>
        <xdr:cNvSpPr/>
      </xdr:nvSpPr>
      <xdr:spPr>
        <a:xfrm>
          <a:off x="3511613" y="269315"/>
          <a:ext cx="1301634" cy="372336"/>
        </a:xfrm>
        <a:prstGeom prst="roundRect">
          <a:avLst>
            <a:gd name="adj" fmla="val 49653"/>
          </a:avLst>
        </a:prstGeom>
        <a:gradFill flip="none" rotWithShape="1">
          <a:gsLst>
            <a:gs pos="18000">
              <a:srgbClr val="003760"/>
            </a:gs>
            <a:gs pos="90000">
              <a:srgbClr val="003964"/>
            </a:gs>
          </a:gsLst>
          <a:path path="circle">
            <a:fillToRect l="50000" t="-80000" r="50000" b="180000"/>
          </a:path>
          <a:tileRect/>
        </a:gradFill>
        <a:ln w="9525">
          <a:solidFill>
            <a:srgbClr val="66FFFF"/>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050" kern="1200">
              <a:solidFill>
                <a:srgbClr val="66FFFF"/>
              </a:solidFill>
              <a:latin typeface="+mn-lt"/>
              <a:ea typeface="+mn-ea"/>
              <a:cs typeface="+mn-cs"/>
            </a:rPr>
            <a:t>Dashboard</a:t>
          </a:r>
          <a:endParaRPr lang="ru-RU" sz="1050" kern="1200">
            <a:solidFill>
              <a:srgbClr val="66FFFF"/>
            </a:solidFill>
            <a:latin typeface="+mn-lt"/>
            <a:ea typeface="+mn-ea"/>
            <a:cs typeface="+mn-cs"/>
          </a:endParaRPr>
        </a:p>
      </xdr:txBody>
    </xdr:sp>
    <xdr:clientData/>
  </xdr:twoCellAnchor>
  <xdr:twoCellAnchor>
    <xdr:from>
      <xdr:col>10</xdr:col>
      <xdr:colOff>242727</xdr:colOff>
      <xdr:row>1</xdr:row>
      <xdr:rowOff>85619</xdr:rowOff>
    </xdr:from>
    <xdr:to>
      <xdr:col>12</xdr:col>
      <xdr:colOff>321066</xdr:colOff>
      <xdr:row>3</xdr:row>
      <xdr:rowOff>90562</xdr:rowOff>
    </xdr:to>
    <xdr:sp macro="" textlink="">
      <xdr:nvSpPr>
        <xdr:cNvPr id="6" name="Rectangle: Rounded Corners 5">
          <a:extLst>
            <a:ext uri="{FF2B5EF4-FFF2-40B4-BE49-F238E27FC236}">
              <a16:creationId xmlns:a16="http://schemas.microsoft.com/office/drawing/2014/main" id="{00000000-0008-0000-0100-000006000000}"/>
            </a:ext>
          </a:extLst>
        </xdr:cNvPr>
        <xdr:cNvSpPr/>
      </xdr:nvSpPr>
      <xdr:spPr>
        <a:xfrm>
          <a:off x="6365941" y="269315"/>
          <a:ext cx="1302982" cy="37233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a:solidFill>
                <a:srgbClr val="BEFBFF"/>
              </a:solidFill>
              <a:effectLst/>
              <a:latin typeface="+mn-lt"/>
              <a:ea typeface="+mn-ea"/>
              <a:cs typeface="+mn-cs"/>
            </a:rPr>
            <a:t>Analysis</a:t>
          </a:r>
          <a:endParaRPr lang="ru-RU" sz="1050" b="0" kern="1200">
            <a:solidFill>
              <a:srgbClr val="BEFBFF"/>
            </a:solidFill>
            <a:latin typeface="+mn-lt"/>
            <a:ea typeface="+mn-ea"/>
            <a:cs typeface="+mn-cs"/>
          </a:endParaRPr>
        </a:p>
      </xdr:txBody>
    </xdr:sp>
    <xdr:clientData/>
  </xdr:twoCellAnchor>
  <xdr:twoCellAnchor>
    <xdr:from>
      <xdr:col>8</xdr:col>
      <xdr:colOff>40206</xdr:colOff>
      <xdr:row>1</xdr:row>
      <xdr:rowOff>85619</xdr:rowOff>
    </xdr:from>
    <xdr:to>
      <xdr:col>10</xdr:col>
      <xdr:colOff>117197</xdr:colOff>
      <xdr:row>3</xdr:row>
      <xdr:rowOff>90562</xdr:rowOff>
    </xdr:to>
    <xdr:sp macro="" textlink="">
      <xdr:nvSpPr>
        <xdr:cNvPr id="7" name="Rectangle: Rounded Corners 6">
          <a:extLst>
            <a:ext uri="{FF2B5EF4-FFF2-40B4-BE49-F238E27FC236}">
              <a16:creationId xmlns:a16="http://schemas.microsoft.com/office/drawing/2014/main" id="{00000000-0008-0000-0100-000007000000}"/>
            </a:ext>
          </a:extLst>
        </xdr:cNvPr>
        <xdr:cNvSpPr/>
      </xdr:nvSpPr>
      <xdr:spPr>
        <a:xfrm>
          <a:off x="4938777" y="269315"/>
          <a:ext cx="1301634" cy="37233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rgbClr val="BEFBFF"/>
              </a:solidFill>
              <a:effectLst/>
              <a:latin typeface="+mn-lt"/>
              <a:ea typeface="+mn-ea"/>
              <a:cs typeface="+mn-cs"/>
            </a:rPr>
            <a:t>Operations </a:t>
          </a:r>
          <a:endParaRPr lang="ru-RU" sz="1100" b="0" kern="1200">
            <a:solidFill>
              <a:srgbClr val="BEFBFF"/>
            </a:solidFill>
            <a:effectLst/>
            <a:latin typeface="+mn-lt"/>
            <a:ea typeface="+mn-ea"/>
            <a:cs typeface="+mn-cs"/>
          </a:endParaRPr>
        </a:p>
      </xdr:txBody>
    </xdr:sp>
    <xdr:clientData/>
  </xdr:twoCellAnchor>
  <xdr:twoCellAnchor>
    <xdr:from>
      <xdr:col>12</xdr:col>
      <xdr:colOff>446596</xdr:colOff>
      <xdr:row>1</xdr:row>
      <xdr:rowOff>85619</xdr:rowOff>
    </xdr:from>
    <xdr:to>
      <xdr:col>14</xdr:col>
      <xdr:colOff>523587</xdr:colOff>
      <xdr:row>3</xdr:row>
      <xdr:rowOff>90562</xdr:rowOff>
    </xdr:to>
    <xdr:sp macro="" textlink="">
      <xdr:nvSpPr>
        <xdr:cNvPr id="8" name="Rectangle: Rounded Corners 7">
          <a:extLst>
            <a:ext uri="{FF2B5EF4-FFF2-40B4-BE49-F238E27FC236}">
              <a16:creationId xmlns:a16="http://schemas.microsoft.com/office/drawing/2014/main" id="{00000000-0008-0000-0100-000008000000}"/>
            </a:ext>
          </a:extLst>
        </xdr:cNvPr>
        <xdr:cNvSpPr/>
      </xdr:nvSpPr>
      <xdr:spPr>
        <a:xfrm>
          <a:off x="7794453" y="269315"/>
          <a:ext cx="1301634" cy="37233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rgbClr val="BEFBFF"/>
              </a:solidFill>
              <a:effectLst/>
              <a:latin typeface="+mn-lt"/>
              <a:ea typeface="+mn-ea"/>
              <a:cs typeface="+mn-cs"/>
            </a:rPr>
            <a:t>Dataset</a:t>
          </a:r>
          <a:endParaRPr lang="ru-RU" sz="1050" b="0" kern="1200">
            <a:solidFill>
              <a:srgbClr val="BEFBFF"/>
            </a:solidFill>
            <a:latin typeface="+mn-lt"/>
            <a:ea typeface="+mn-ea"/>
            <a:cs typeface="+mn-cs"/>
          </a:endParaRPr>
        </a:p>
      </xdr:txBody>
    </xdr:sp>
    <xdr:clientData/>
  </xdr:twoCellAnchor>
  <xdr:twoCellAnchor>
    <xdr:from>
      <xdr:col>15</xdr:col>
      <xdr:colOff>424241</xdr:colOff>
      <xdr:row>4</xdr:row>
      <xdr:rowOff>164483</xdr:rowOff>
    </xdr:from>
    <xdr:to>
      <xdr:col>19</xdr:col>
      <xdr:colOff>573708</xdr:colOff>
      <xdr:row>17</xdr:row>
      <xdr:rowOff>167780</xdr:rowOff>
    </xdr:to>
    <xdr:sp macro="" textlink="">
      <xdr:nvSpPr>
        <xdr:cNvPr id="9" name="Rectangle: Rounded Corners 8">
          <a:extLst>
            <a:ext uri="{FF2B5EF4-FFF2-40B4-BE49-F238E27FC236}">
              <a16:creationId xmlns:a16="http://schemas.microsoft.com/office/drawing/2014/main" id="{00000000-0008-0000-0100-000009000000}"/>
            </a:ext>
          </a:extLst>
        </xdr:cNvPr>
        <xdr:cNvSpPr/>
      </xdr:nvSpPr>
      <xdr:spPr>
        <a:xfrm>
          <a:off x="9609062" y="899269"/>
          <a:ext cx="2598753" cy="2391350"/>
        </a:xfrm>
        <a:prstGeom prst="roundRect">
          <a:avLst>
            <a:gd name="adj" fmla="val 12458"/>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15</xdr:col>
      <xdr:colOff>420831</xdr:colOff>
      <xdr:row>18</xdr:row>
      <xdr:rowOff>62919</xdr:rowOff>
    </xdr:from>
    <xdr:to>
      <xdr:col>19</xdr:col>
      <xdr:colOff>573856</xdr:colOff>
      <xdr:row>35</xdr:row>
      <xdr:rowOff>60674</xdr:rowOff>
    </xdr:to>
    <xdr:sp macro="" textlink="">
      <xdr:nvSpPr>
        <xdr:cNvPr id="10" name="Rectangle: Rounded Corners 9">
          <a:extLst>
            <a:ext uri="{FF2B5EF4-FFF2-40B4-BE49-F238E27FC236}">
              <a16:creationId xmlns:a16="http://schemas.microsoft.com/office/drawing/2014/main" id="{00000000-0008-0000-0100-00000A000000}"/>
            </a:ext>
          </a:extLst>
        </xdr:cNvPr>
        <xdr:cNvSpPr/>
      </xdr:nvSpPr>
      <xdr:spPr>
        <a:xfrm>
          <a:off x="9605652" y="3369455"/>
          <a:ext cx="2602311" cy="3120594"/>
        </a:xfrm>
        <a:prstGeom prst="roundRect">
          <a:avLst>
            <a:gd name="adj" fmla="val 10470"/>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10</xdr:col>
      <xdr:colOff>134640</xdr:colOff>
      <xdr:row>25</xdr:row>
      <xdr:rowOff>101600</xdr:rowOff>
    </xdr:from>
    <xdr:to>
      <xdr:col>15</xdr:col>
      <xdr:colOff>276008</xdr:colOff>
      <xdr:row>35</xdr:row>
      <xdr:rowOff>46944</xdr:rowOff>
    </xdr:to>
    <xdr:sp macro="" textlink="">
      <xdr:nvSpPr>
        <xdr:cNvPr id="11" name="Rectangle: Rounded Corners 10">
          <a:extLst>
            <a:ext uri="{FF2B5EF4-FFF2-40B4-BE49-F238E27FC236}">
              <a16:creationId xmlns:a16="http://schemas.microsoft.com/office/drawing/2014/main" id="{00000000-0008-0000-0100-00000B000000}"/>
            </a:ext>
          </a:extLst>
        </xdr:cNvPr>
        <xdr:cNvSpPr/>
      </xdr:nvSpPr>
      <xdr:spPr>
        <a:xfrm>
          <a:off x="6257854" y="4694011"/>
          <a:ext cx="3202975" cy="1782308"/>
        </a:xfrm>
        <a:prstGeom prst="roundRect">
          <a:avLst>
            <a:gd name="adj" fmla="val 14041"/>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61378</xdr:colOff>
      <xdr:row>4</xdr:row>
      <xdr:rowOff>147856</xdr:rowOff>
    </xdr:from>
    <xdr:to>
      <xdr:col>15</xdr:col>
      <xdr:colOff>299140</xdr:colOff>
      <xdr:row>11</xdr:row>
      <xdr:rowOff>49761</xdr:rowOff>
    </xdr:to>
    <xdr:sp macro="" textlink="">
      <xdr:nvSpPr>
        <xdr:cNvPr id="12" name="Rectangle: Rounded Corners 11">
          <a:extLst>
            <a:ext uri="{FF2B5EF4-FFF2-40B4-BE49-F238E27FC236}">
              <a16:creationId xmlns:a16="http://schemas.microsoft.com/office/drawing/2014/main" id="{00000000-0008-0000-0100-00000C000000}"/>
            </a:ext>
          </a:extLst>
        </xdr:cNvPr>
        <xdr:cNvSpPr/>
      </xdr:nvSpPr>
      <xdr:spPr>
        <a:xfrm>
          <a:off x="673699" y="882642"/>
          <a:ext cx="8810262" cy="1187780"/>
        </a:xfrm>
        <a:prstGeom prst="roundRect">
          <a:avLst>
            <a:gd name="adj" fmla="val 8836"/>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61379</xdr:colOff>
      <xdr:row>11</xdr:row>
      <xdr:rowOff>181511</xdr:rowOff>
    </xdr:from>
    <xdr:to>
      <xdr:col>10</xdr:col>
      <xdr:colOff>98686</xdr:colOff>
      <xdr:row>23</xdr:row>
      <xdr:rowOff>175179</xdr:rowOff>
    </xdr:to>
    <xdr:sp macro="" textlink="">
      <xdr:nvSpPr>
        <xdr:cNvPr id="13" name="Rectangle: Rounded Corners 12">
          <a:extLst>
            <a:ext uri="{FF2B5EF4-FFF2-40B4-BE49-F238E27FC236}">
              <a16:creationId xmlns:a16="http://schemas.microsoft.com/office/drawing/2014/main" id="{00000000-0008-0000-0100-00000D000000}"/>
            </a:ext>
          </a:extLst>
        </xdr:cNvPr>
        <xdr:cNvSpPr/>
      </xdr:nvSpPr>
      <xdr:spPr>
        <a:xfrm>
          <a:off x="673700" y="2202172"/>
          <a:ext cx="5548200" cy="2198025"/>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127000" dist="127000" dir="5400000" sx="102000" sy="102000" algn="t" rotWithShape="0">
            <a:srgbClr val="3D506B">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194804</xdr:colOff>
      <xdr:row>5</xdr:row>
      <xdr:rowOff>45575</xdr:rowOff>
    </xdr:from>
    <xdr:to>
      <xdr:col>4</xdr:col>
      <xdr:colOff>380405</xdr:colOff>
      <xdr:row>10</xdr:row>
      <xdr:rowOff>157284</xdr:rowOff>
    </xdr:to>
    <xdr:sp macro="" textlink="">
      <xdr:nvSpPr>
        <xdr:cNvPr id="14" name="Rectangle: Rounded Corners 13">
          <a:extLst>
            <a:ext uri="{FF2B5EF4-FFF2-40B4-BE49-F238E27FC236}">
              <a16:creationId xmlns:a16="http://schemas.microsoft.com/office/drawing/2014/main" id="{00000000-0008-0000-0100-00000E000000}"/>
            </a:ext>
          </a:extLst>
        </xdr:cNvPr>
        <xdr:cNvSpPr/>
      </xdr:nvSpPr>
      <xdr:spPr>
        <a:xfrm>
          <a:off x="807125" y="964057"/>
          <a:ext cx="2022566" cy="1030191"/>
        </a:xfrm>
        <a:prstGeom prst="roundRect">
          <a:avLst>
            <a:gd name="adj" fmla="val 15565"/>
          </a:avLst>
        </a:prstGeom>
        <a:gradFill>
          <a:gsLst>
            <a:gs pos="0">
              <a:srgbClr val="82CBB9"/>
            </a:gs>
            <a:gs pos="100000">
              <a:srgbClr val="4FA992"/>
            </a:gs>
          </a:gsLst>
          <a:lin ang="2700000" scaled="1"/>
        </a:gradFill>
        <a:ln>
          <a:noFill/>
        </a:ln>
        <a:effectLst>
          <a:outerShdw blurRad="254000" dist="1016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400" b="0" i="0" u="none" strike="noStrike" kern="1200">
              <a:solidFill>
                <a:schemeClr val="bg1"/>
              </a:solidFill>
              <a:effectLst>
                <a:outerShdw blurRad="50800" dist="38100" dir="8100000" algn="tr" rotWithShape="0">
                  <a:prstClr val="black">
                    <a:alpha val="40000"/>
                  </a:prstClr>
                </a:outerShdw>
              </a:effectLst>
              <a:latin typeface="Aptos Narrow"/>
              <a:ea typeface="+mn-ea"/>
              <a:cs typeface="+mn-cs"/>
            </a:rPr>
            <a:t>Total Orders</a:t>
          </a:r>
          <a:endParaRPr lang="ru-RU" sz="2400" kern="1200">
            <a:solidFill>
              <a:schemeClr val="bg1"/>
            </a:solidFill>
            <a:effectLst>
              <a:outerShdw blurRad="50800" dist="38100" dir="8100000" algn="tr" rotWithShape="0">
                <a:prstClr val="black">
                  <a:alpha val="40000"/>
                </a:prstClr>
              </a:outerShdw>
            </a:effectLst>
            <a:latin typeface="+mn-lt"/>
            <a:ea typeface="+mn-ea"/>
            <a:cs typeface="+mn-cs"/>
          </a:endParaRPr>
        </a:p>
      </xdr:txBody>
    </xdr:sp>
    <xdr:clientData/>
  </xdr:twoCellAnchor>
  <xdr:twoCellAnchor>
    <xdr:from>
      <xdr:col>4</xdr:col>
      <xdr:colOff>533284</xdr:colOff>
      <xdr:row>5</xdr:row>
      <xdr:rowOff>45575</xdr:rowOff>
    </xdr:from>
    <xdr:to>
      <xdr:col>8</xdr:col>
      <xdr:colOff>103843</xdr:colOff>
      <xdr:row>10</xdr:row>
      <xdr:rowOff>157284</xdr:rowOff>
    </xdr:to>
    <xdr:sp macro="" textlink="">
      <xdr:nvSpPr>
        <xdr:cNvPr id="15" name="Rectangle: Rounded Corners 14">
          <a:extLst>
            <a:ext uri="{FF2B5EF4-FFF2-40B4-BE49-F238E27FC236}">
              <a16:creationId xmlns:a16="http://schemas.microsoft.com/office/drawing/2014/main" id="{00000000-0008-0000-0100-00000F000000}"/>
            </a:ext>
          </a:extLst>
        </xdr:cNvPr>
        <xdr:cNvSpPr/>
      </xdr:nvSpPr>
      <xdr:spPr>
        <a:xfrm>
          <a:off x="2982570" y="964057"/>
          <a:ext cx="2019844" cy="1030191"/>
        </a:xfrm>
        <a:prstGeom prst="roundRect">
          <a:avLst>
            <a:gd name="adj" fmla="val 15565"/>
          </a:avLst>
        </a:prstGeom>
        <a:gradFill>
          <a:gsLst>
            <a:gs pos="0">
              <a:srgbClr val="609DD4"/>
            </a:gs>
            <a:gs pos="100000">
              <a:srgbClr val="4B89C5"/>
            </a:gs>
          </a:gsLst>
          <a:lin ang="2700000" scaled="1"/>
        </a:gradFill>
        <a:ln w="9525">
          <a:noFill/>
        </a:ln>
        <a:effectLst>
          <a:outerShdw blurRad="254000" dist="1016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400">
              <a:solidFill>
                <a:schemeClr val="bg1"/>
              </a:solidFill>
              <a:effectLst>
                <a:outerShdw blurRad="50800" dist="38100" dir="8100000" algn="tr" rotWithShape="0">
                  <a:prstClr val="black">
                    <a:alpha val="40000"/>
                  </a:prstClr>
                </a:outerShdw>
              </a:effectLst>
              <a:latin typeface="Aptos Narrow"/>
            </a:rPr>
            <a:t>Total Quantity</a:t>
          </a:r>
          <a:endParaRPr lang="ru-RU" sz="1400">
            <a:solidFill>
              <a:schemeClr val="bg1"/>
            </a:solidFill>
            <a:effectLst>
              <a:outerShdw blurRad="50800" dist="38100" dir="8100000" algn="tr" rotWithShape="0">
                <a:prstClr val="black">
                  <a:alpha val="40000"/>
                </a:prstClr>
              </a:outerShdw>
            </a:effectLst>
            <a:latin typeface="Aptos Narrow"/>
          </a:endParaRPr>
        </a:p>
      </xdr:txBody>
    </xdr:sp>
    <xdr:clientData/>
  </xdr:twoCellAnchor>
  <xdr:twoCellAnchor>
    <xdr:from>
      <xdr:col>8</xdr:col>
      <xdr:colOff>256722</xdr:colOff>
      <xdr:row>5</xdr:row>
      <xdr:rowOff>45575</xdr:rowOff>
    </xdr:from>
    <xdr:to>
      <xdr:col>11</xdr:col>
      <xdr:colOff>442323</xdr:colOff>
      <xdr:row>10</xdr:row>
      <xdr:rowOff>157284</xdr:rowOff>
    </xdr:to>
    <xdr:sp macro="" textlink="">
      <xdr:nvSpPr>
        <xdr:cNvPr id="16" name="Rectangle: Rounded Corners 15">
          <a:extLst>
            <a:ext uri="{FF2B5EF4-FFF2-40B4-BE49-F238E27FC236}">
              <a16:creationId xmlns:a16="http://schemas.microsoft.com/office/drawing/2014/main" id="{00000000-0008-0000-0100-000010000000}"/>
            </a:ext>
          </a:extLst>
        </xdr:cNvPr>
        <xdr:cNvSpPr/>
      </xdr:nvSpPr>
      <xdr:spPr>
        <a:xfrm>
          <a:off x="5155293" y="964057"/>
          <a:ext cx="2022566" cy="1030191"/>
        </a:xfrm>
        <a:prstGeom prst="roundRect">
          <a:avLst>
            <a:gd name="adj" fmla="val 15565"/>
          </a:avLst>
        </a:prstGeom>
        <a:gradFill>
          <a:gsLst>
            <a:gs pos="0">
              <a:srgbClr val="60B0BE"/>
            </a:gs>
            <a:gs pos="100000">
              <a:srgbClr val="4192AE"/>
            </a:gs>
          </a:gsLst>
          <a:lin ang="2700000" scaled="1"/>
        </a:gradFill>
        <a:ln w="9525">
          <a:noFill/>
        </a:ln>
        <a:effectLst>
          <a:outerShdw blurRad="254000" dist="1016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400">
              <a:solidFill>
                <a:schemeClr val="bg1"/>
              </a:solidFill>
              <a:effectLst>
                <a:outerShdw blurRad="50800" dist="38100" dir="10800000" algn="r" rotWithShape="0">
                  <a:prstClr val="black">
                    <a:alpha val="40000"/>
                  </a:prstClr>
                </a:outerShdw>
              </a:effectLst>
              <a:latin typeface="Aptos Narrow"/>
            </a:rPr>
            <a:t>Total Cost</a:t>
          </a:r>
          <a:endParaRPr lang="ru-RU" sz="1400">
            <a:solidFill>
              <a:schemeClr val="bg1"/>
            </a:solidFill>
            <a:effectLst>
              <a:outerShdw blurRad="50800" dist="38100" dir="10800000" algn="r" rotWithShape="0">
                <a:prstClr val="black">
                  <a:alpha val="40000"/>
                </a:prstClr>
              </a:outerShdw>
            </a:effectLst>
            <a:latin typeface="Aptos Narrow"/>
          </a:endParaRPr>
        </a:p>
      </xdr:txBody>
    </xdr:sp>
    <xdr:clientData/>
  </xdr:twoCellAnchor>
  <xdr:twoCellAnchor>
    <xdr:from>
      <xdr:col>11</xdr:col>
      <xdr:colOff>595201</xdr:colOff>
      <xdr:row>5</xdr:row>
      <xdr:rowOff>45575</xdr:rowOff>
    </xdr:from>
    <xdr:to>
      <xdr:col>15</xdr:col>
      <xdr:colOff>165760</xdr:colOff>
      <xdr:row>10</xdr:row>
      <xdr:rowOff>157284</xdr:rowOff>
    </xdr:to>
    <xdr:sp macro="" textlink="">
      <xdr:nvSpPr>
        <xdr:cNvPr id="17" name="Rectangle: Rounded Corners 16">
          <a:extLst>
            <a:ext uri="{FF2B5EF4-FFF2-40B4-BE49-F238E27FC236}">
              <a16:creationId xmlns:a16="http://schemas.microsoft.com/office/drawing/2014/main" id="{00000000-0008-0000-0100-000011000000}"/>
            </a:ext>
          </a:extLst>
        </xdr:cNvPr>
        <xdr:cNvSpPr/>
      </xdr:nvSpPr>
      <xdr:spPr>
        <a:xfrm>
          <a:off x="7330737" y="964057"/>
          <a:ext cx="2019844" cy="1030191"/>
        </a:xfrm>
        <a:prstGeom prst="roundRect">
          <a:avLst>
            <a:gd name="adj" fmla="val 15565"/>
          </a:avLst>
        </a:prstGeom>
        <a:solidFill>
          <a:srgbClr val="9EB0C9"/>
        </a:solidFill>
        <a:ln>
          <a:noFill/>
        </a:ln>
        <a:effectLst>
          <a:outerShdw blurRad="254000" dist="1016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400" b="0" i="0" u="none" strike="noStrike" kern="1200">
              <a:solidFill>
                <a:schemeClr val="bg1"/>
              </a:solidFill>
              <a:effectLst>
                <a:outerShdw blurRad="50800" dist="38100" dir="8100000" algn="tr" rotWithShape="0">
                  <a:prstClr val="black">
                    <a:alpha val="40000"/>
                  </a:prstClr>
                </a:outerShdw>
              </a:effectLst>
              <a:latin typeface="Aptos Narrow"/>
              <a:ea typeface="+mn-ea"/>
              <a:cs typeface="+mn-cs"/>
            </a:rPr>
            <a:t>Avg Delay Days</a:t>
          </a:r>
          <a:endParaRPr lang="ru-RU" sz="2400" kern="1200">
            <a:solidFill>
              <a:schemeClr val="bg1"/>
            </a:solidFill>
            <a:effectLst>
              <a:outerShdw blurRad="50800" dist="38100" dir="8100000" algn="tr" rotWithShape="0">
                <a:prstClr val="black">
                  <a:alpha val="40000"/>
                </a:prstClr>
              </a:outerShdw>
            </a:effectLst>
            <a:latin typeface="+mn-lt"/>
            <a:ea typeface="+mn-ea"/>
            <a:cs typeface="+mn-cs"/>
          </a:endParaRPr>
        </a:p>
      </xdr:txBody>
    </xdr:sp>
    <xdr:clientData/>
  </xdr:twoCellAnchor>
  <xdr:twoCellAnchor>
    <xdr:from>
      <xdr:col>10</xdr:col>
      <xdr:colOff>234545</xdr:colOff>
      <xdr:row>12</xdr:row>
      <xdr:rowOff>2754</xdr:rowOff>
    </xdr:from>
    <xdr:to>
      <xdr:col>15</xdr:col>
      <xdr:colOff>295467</xdr:colOff>
      <xdr:row>25</xdr:row>
      <xdr:rowOff>12700</xdr:rowOff>
    </xdr:to>
    <xdr:sp macro="" textlink="">
      <xdr:nvSpPr>
        <xdr:cNvPr id="18" name="Rectangle: Rounded Corners 17">
          <a:extLst>
            <a:ext uri="{FF2B5EF4-FFF2-40B4-BE49-F238E27FC236}">
              <a16:creationId xmlns:a16="http://schemas.microsoft.com/office/drawing/2014/main" id="{00000000-0008-0000-0100-000012000000}"/>
            </a:ext>
          </a:extLst>
        </xdr:cNvPr>
        <xdr:cNvSpPr/>
      </xdr:nvSpPr>
      <xdr:spPr>
        <a:xfrm>
          <a:off x="6357759" y="2207111"/>
          <a:ext cx="3122529" cy="2398000"/>
        </a:xfrm>
        <a:prstGeom prst="roundRect">
          <a:avLst>
            <a:gd name="adj" fmla="val 11479"/>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61381</xdr:colOff>
      <xdr:row>24</xdr:row>
      <xdr:rowOff>95272</xdr:rowOff>
    </xdr:from>
    <xdr:to>
      <xdr:col>9</xdr:col>
      <xdr:colOff>593163</xdr:colOff>
      <xdr:row>35</xdr:row>
      <xdr:rowOff>46944</xdr:rowOff>
    </xdr:to>
    <xdr:sp macro="" textlink="">
      <xdr:nvSpPr>
        <xdr:cNvPr id="19" name="Rectangle: Rounded Corners 18">
          <a:extLst>
            <a:ext uri="{FF2B5EF4-FFF2-40B4-BE49-F238E27FC236}">
              <a16:creationId xmlns:a16="http://schemas.microsoft.com/office/drawing/2014/main" id="{00000000-0008-0000-0100-000013000000}"/>
            </a:ext>
          </a:extLst>
        </xdr:cNvPr>
        <xdr:cNvSpPr/>
      </xdr:nvSpPr>
      <xdr:spPr>
        <a:xfrm>
          <a:off x="673702" y="4503986"/>
          <a:ext cx="5430354" cy="1972333"/>
        </a:xfrm>
        <a:prstGeom prst="roundRect">
          <a:avLst>
            <a:gd name="adj" fmla="val 14041"/>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editAs="oneCell">
    <xdr:from>
      <xdr:col>17</xdr:col>
      <xdr:colOff>436594</xdr:colOff>
      <xdr:row>1</xdr:row>
      <xdr:rowOff>60083</xdr:rowOff>
    </xdr:from>
    <xdr:to>
      <xdr:col>19</xdr:col>
      <xdr:colOff>609177</xdr:colOff>
      <xdr:row>3</xdr:row>
      <xdr:rowOff>116099</xdr:rowOff>
    </xdr:to>
    <mc:AlternateContent xmlns:mc="http://schemas.openxmlformats.org/markup-compatibility/2006" xmlns:a14="http://schemas.microsoft.com/office/drawing/2010/main">
      <mc:Choice Requires="a14">
        <xdr:graphicFrame macro="">
          <xdr:nvGraphicFramePr>
            <xdr:cNvPr id="24" name="Years (Order_Date)">
              <a:extLst>
                <a:ext uri="{FF2B5EF4-FFF2-40B4-BE49-F238E27FC236}">
                  <a16:creationId xmlns:a16="http://schemas.microsoft.com/office/drawing/2014/main" id="{00000000-0008-0000-0100-000018000000}"/>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10846058" y="243779"/>
              <a:ext cx="1397226" cy="4234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12857</xdr:colOff>
      <xdr:row>1</xdr:row>
      <xdr:rowOff>93560</xdr:rowOff>
    </xdr:from>
    <xdr:to>
      <xdr:col>5</xdr:col>
      <xdr:colOff>498378</xdr:colOff>
      <xdr:row>3</xdr:row>
      <xdr:rowOff>82622</xdr:rowOff>
    </xdr:to>
    <xdr:sp macro="" textlink="">
      <xdr:nvSpPr>
        <xdr:cNvPr id="20" name="TextBox 158">
          <a:extLst>
            <a:ext uri="{FF2B5EF4-FFF2-40B4-BE49-F238E27FC236}">
              <a16:creationId xmlns:a16="http://schemas.microsoft.com/office/drawing/2014/main" id="{00000000-0008-0000-0100-000014000000}"/>
            </a:ext>
          </a:extLst>
        </xdr:cNvPr>
        <xdr:cNvSpPr txBox="1"/>
      </xdr:nvSpPr>
      <xdr:spPr>
        <a:xfrm>
          <a:off x="625178" y="277256"/>
          <a:ext cx="2934807" cy="356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2100" b="1">
              <a:solidFill>
                <a:srgbClr val="BFFAFF"/>
              </a:solidFill>
            </a:rPr>
            <a:t>Supply Chain Dashboard</a:t>
          </a:r>
          <a:endParaRPr lang="ru-RU" sz="2100" b="1">
            <a:solidFill>
              <a:srgbClr val="BFFAFF"/>
            </a:solidFill>
          </a:endParaRPr>
        </a:p>
      </xdr:txBody>
    </xdr:sp>
    <xdr:clientData/>
  </xdr:twoCellAnchor>
  <xdr:twoCellAnchor>
    <xdr:from>
      <xdr:col>15</xdr:col>
      <xdr:colOff>36797</xdr:colOff>
      <xdr:row>1</xdr:row>
      <xdr:rowOff>85619</xdr:rowOff>
    </xdr:from>
    <xdr:to>
      <xdr:col>17</xdr:col>
      <xdr:colOff>113788</xdr:colOff>
      <xdr:row>3</xdr:row>
      <xdr:rowOff>90562</xdr:rowOff>
    </xdr:to>
    <xdr:sp macro="" textlink="">
      <xdr:nvSpPr>
        <xdr:cNvPr id="21" name="Rectangle: Rounded Corners 20">
          <a:extLst>
            <a:ext uri="{FF2B5EF4-FFF2-40B4-BE49-F238E27FC236}">
              <a16:creationId xmlns:a16="http://schemas.microsoft.com/office/drawing/2014/main" id="{00000000-0008-0000-0100-000015000000}"/>
            </a:ext>
          </a:extLst>
        </xdr:cNvPr>
        <xdr:cNvSpPr/>
      </xdr:nvSpPr>
      <xdr:spPr>
        <a:xfrm>
          <a:off x="9221618" y="269315"/>
          <a:ext cx="1301634" cy="37233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rgbClr val="BEFBFF"/>
              </a:solidFill>
              <a:effectLst/>
              <a:latin typeface="+mn-lt"/>
              <a:ea typeface="+mn-ea"/>
              <a:cs typeface="+mn-cs"/>
            </a:rPr>
            <a:t>Insights</a:t>
          </a:r>
          <a:endParaRPr lang="ru-RU" sz="1050" b="0" kern="1200">
            <a:solidFill>
              <a:srgbClr val="BEFBFF"/>
            </a:solidFill>
            <a:latin typeface="+mn-lt"/>
            <a:ea typeface="+mn-ea"/>
            <a:cs typeface="+mn-cs"/>
          </a:endParaRPr>
        </a:p>
      </xdr:txBody>
    </xdr:sp>
    <xdr:clientData/>
  </xdr:twoCellAnchor>
  <xdr:twoCellAnchor>
    <xdr:from>
      <xdr:col>1</xdr:col>
      <xdr:colOff>37084</xdr:colOff>
      <xdr:row>13</xdr:row>
      <xdr:rowOff>89243</xdr:rowOff>
    </xdr:from>
    <xdr:to>
      <xdr:col>10</xdr:col>
      <xdr:colOff>78273</xdr:colOff>
      <xdr:row>22</xdr:row>
      <xdr:rowOff>102972</xdr:rowOff>
    </xdr:to>
    <xdr:graphicFrame macro="">
      <xdr:nvGraphicFramePr>
        <xdr:cNvPr id="29" name="Chart 28">
          <a:extLst>
            <a:ext uri="{FF2B5EF4-FFF2-40B4-BE49-F238E27FC236}">
              <a16:creationId xmlns:a16="http://schemas.microsoft.com/office/drawing/2014/main" id="{00000000-0008-0000-01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18696</xdr:colOff>
      <xdr:row>12</xdr:row>
      <xdr:rowOff>33247</xdr:rowOff>
    </xdr:from>
    <xdr:ext cx="2692789" cy="292388"/>
    <xdr:sp macro="" textlink="Processing!A7">
      <xdr:nvSpPr>
        <xdr:cNvPr id="22" name="TextBox 21">
          <a:extLst>
            <a:ext uri="{FF2B5EF4-FFF2-40B4-BE49-F238E27FC236}">
              <a16:creationId xmlns:a16="http://schemas.microsoft.com/office/drawing/2014/main" id="{00000000-0008-0000-0100-000016000000}"/>
            </a:ext>
          </a:extLst>
        </xdr:cNvPr>
        <xdr:cNvSpPr txBox="1"/>
      </xdr:nvSpPr>
      <xdr:spPr>
        <a:xfrm>
          <a:off x="1855660" y="2237604"/>
          <a:ext cx="2692789"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marL="0" indent="0" algn="ctr"/>
          <a:fld id="{6EB10127-069A-49F4-B6B0-98AE2CDA6499}" type="TxLink">
            <a:rPr lang="en-US" sz="1300" b="1" i="0" u="none" strike="noStrike">
              <a:solidFill>
                <a:schemeClr val="bg1"/>
              </a:solidFill>
              <a:effectLst>
                <a:outerShdw blurRad="50800" dist="38100" dir="8100000" algn="tr" rotWithShape="0">
                  <a:prstClr val="black">
                    <a:alpha val="40000"/>
                  </a:prstClr>
                </a:outerShdw>
              </a:effectLst>
              <a:latin typeface="Quadran" panose="00000500000000000000" pitchFamily="50" charset="0"/>
              <a:ea typeface="+mn-ea"/>
              <a:cs typeface="Calibri"/>
            </a:rPr>
            <a:pPr marL="0" indent="0" algn="ctr"/>
            <a:t>Monthly Quantity Trends</a:t>
          </a:fld>
          <a:endParaRPr lang="en-US" sz="1300" b="1" i="0" u="none" strike="noStrike">
            <a:solidFill>
              <a:schemeClr val="bg1"/>
            </a:solidFill>
            <a:effectLst>
              <a:outerShdw blurRad="50800" dist="38100" dir="8100000" algn="tr" rotWithShape="0">
                <a:prstClr val="black">
                  <a:alpha val="40000"/>
                </a:prstClr>
              </a:outerShdw>
            </a:effectLst>
            <a:latin typeface="Quadran" panose="00000500000000000000" pitchFamily="50" charset="0"/>
            <a:ea typeface="+mn-ea"/>
            <a:cs typeface="Calibri"/>
          </a:endParaRPr>
        </a:p>
      </xdr:txBody>
    </xdr:sp>
    <xdr:clientData/>
  </xdr:oneCellAnchor>
  <xdr:twoCellAnchor>
    <xdr:from>
      <xdr:col>1</xdr:col>
      <xdr:colOff>126327</xdr:colOff>
      <xdr:row>12</xdr:row>
      <xdr:rowOff>60827</xdr:rowOff>
    </xdr:from>
    <xdr:to>
      <xdr:col>2</xdr:col>
      <xdr:colOff>63993</xdr:colOff>
      <xdr:row>13</xdr:row>
      <xdr:rowOff>155680</xdr:rowOff>
    </xdr:to>
    <xdr:sp macro="" textlink="">
      <xdr:nvSpPr>
        <xdr:cNvPr id="30" name="TextBox 24">
          <a:extLst>
            <a:ext uri="{FF2B5EF4-FFF2-40B4-BE49-F238E27FC236}">
              <a16:creationId xmlns:a16="http://schemas.microsoft.com/office/drawing/2014/main" id="{00000000-0008-0000-0100-00001E000000}"/>
            </a:ext>
          </a:extLst>
        </xdr:cNvPr>
        <xdr:cNvSpPr txBox="1"/>
      </xdr:nvSpPr>
      <xdr:spPr>
        <a:xfrm>
          <a:off x="738648" y="2265184"/>
          <a:ext cx="549988" cy="278550"/>
        </a:xfrm>
        <a:prstGeom prst="rect">
          <a:avLst/>
        </a:prstGeom>
        <a:noFill/>
      </xdr:spPr>
      <xdr:txBody>
        <a:bodyPr wrap="square" rtlCol="0" anchor="ctr">
          <a:spAutoFit/>
        </a:bodyPr>
        <a:lstStyle/>
        <a:p>
          <a:pPr marL="0" indent="0" algn="r" defTabSz="914400" rtl="0" eaLnBrk="1" latinLnBrk="0" hangingPunct="1"/>
          <a:r>
            <a:rPr lang="en-US" sz="1200" b="0" i="0" u="none" strike="noStrike" kern="1200">
              <a:solidFill>
                <a:schemeClr val="bg1"/>
              </a:solidFill>
              <a:latin typeface="Aptos Narrow"/>
              <a:ea typeface="+mn-ea"/>
              <a:cs typeface="+mn-cs"/>
            </a:rPr>
            <a:t>2024</a:t>
          </a:r>
        </a:p>
      </xdr:txBody>
    </xdr:sp>
    <xdr:clientData/>
  </xdr:twoCellAnchor>
  <xdr:twoCellAnchor>
    <xdr:from>
      <xdr:col>1</xdr:col>
      <xdr:colOff>356282</xdr:colOff>
      <xdr:row>12</xdr:row>
      <xdr:rowOff>29506</xdr:rowOff>
    </xdr:from>
    <xdr:to>
      <xdr:col>3</xdr:col>
      <xdr:colOff>123588</xdr:colOff>
      <xdr:row>14</xdr:row>
      <xdr:rowOff>1654</xdr:rowOff>
    </xdr:to>
    <xdr:sp macro="" textlink="Processing!C36">
      <xdr:nvSpPr>
        <xdr:cNvPr id="31" name="TextBox 24">
          <a:extLst>
            <a:ext uri="{FF2B5EF4-FFF2-40B4-BE49-F238E27FC236}">
              <a16:creationId xmlns:a16="http://schemas.microsoft.com/office/drawing/2014/main" id="{00000000-0008-0000-0100-00001F000000}"/>
            </a:ext>
          </a:extLst>
        </xdr:cNvPr>
        <xdr:cNvSpPr txBox="1"/>
      </xdr:nvSpPr>
      <xdr:spPr>
        <a:xfrm>
          <a:off x="968603" y="2233863"/>
          <a:ext cx="991949" cy="339541"/>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224954A2-460E-4DAA-800C-E01A32DDE04A}" type="TxLink">
            <a:rPr lang="en-US" sz="1600" b="1" i="0" u="none" strike="noStrike" kern="1200">
              <a:solidFill>
                <a:srgbClr val="29A3FF"/>
              </a:solidFill>
              <a:latin typeface="Aptos Narrow"/>
              <a:ea typeface="+mn-ea"/>
              <a:cs typeface="+mn-cs"/>
            </a:rPr>
            <a:pPr marL="0" indent="0" algn="ctr" defTabSz="914400" rtl="0" eaLnBrk="1" latinLnBrk="0" hangingPunct="1"/>
            <a:t>9.3K</a:t>
          </a:fld>
          <a:endParaRPr lang="ru-RU" sz="1600" b="1" i="0" u="none" strike="noStrike" kern="1200">
            <a:solidFill>
              <a:srgbClr val="29A3FF"/>
            </a:solidFill>
            <a:latin typeface="Aptos Narrow"/>
            <a:ea typeface="+mn-ea"/>
            <a:cs typeface="+mn-cs"/>
          </a:endParaRPr>
        </a:p>
      </xdr:txBody>
    </xdr:sp>
    <xdr:clientData/>
  </xdr:twoCellAnchor>
  <xdr:twoCellAnchor>
    <xdr:from>
      <xdr:col>8</xdr:col>
      <xdr:colOff>581892</xdr:colOff>
      <xdr:row>12</xdr:row>
      <xdr:rowOff>29506</xdr:rowOff>
    </xdr:from>
    <xdr:to>
      <xdr:col>10</xdr:col>
      <xdr:colOff>127461</xdr:colOff>
      <xdr:row>14</xdr:row>
      <xdr:rowOff>1654</xdr:rowOff>
    </xdr:to>
    <xdr:sp macro="" textlink="Processing!D36">
      <xdr:nvSpPr>
        <xdr:cNvPr id="35" name="TextBox 24">
          <a:extLst>
            <a:ext uri="{FF2B5EF4-FFF2-40B4-BE49-F238E27FC236}">
              <a16:creationId xmlns:a16="http://schemas.microsoft.com/office/drawing/2014/main" id="{00000000-0008-0000-0100-000023000000}"/>
            </a:ext>
          </a:extLst>
        </xdr:cNvPr>
        <xdr:cNvSpPr txBox="1"/>
      </xdr:nvSpPr>
      <xdr:spPr>
        <a:xfrm>
          <a:off x="5480463" y="2233863"/>
          <a:ext cx="770212" cy="339541"/>
        </a:xfrm>
        <a:prstGeom prst="rect">
          <a:avLst/>
        </a:prstGeom>
        <a:noFill/>
      </xdr:spPr>
      <xdr:txBody>
        <a:bodyPr wrap="square" rtlCol="0" anchor="ctr">
          <a:sp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C39A9605-8048-4F69-AE06-277A14132CCE}" type="TxLink">
            <a:rPr lang="en-US" sz="1600" b="1" i="0" u="none" strike="noStrike" kern="1200">
              <a:solidFill>
                <a:srgbClr val="01EFFA"/>
              </a:solidFill>
              <a:latin typeface="Aptos Narrow"/>
              <a:ea typeface="+mn-ea"/>
              <a:cs typeface="+mn-cs"/>
            </a:rPr>
            <a:pPr marL="0" indent="0" algn="ctr" defTabSz="914400" rtl="0" eaLnBrk="1" latinLnBrk="0" hangingPunct="1"/>
            <a:t> </a:t>
          </a:fld>
          <a:endParaRPr lang="ru-RU" sz="1600" b="1" i="0" u="none" strike="noStrike" kern="1200">
            <a:solidFill>
              <a:srgbClr val="01EFFA"/>
            </a:solidFill>
            <a:latin typeface="Aptos Narrow"/>
            <a:ea typeface="+mn-ea"/>
            <a:cs typeface="+mn-cs"/>
          </a:endParaRPr>
        </a:p>
      </xdr:txBody>
    </xdr:sp>
    <xdr:clientData/>
  </xdr:twoCellAnchor>
  <xdr:twoCellAnchor>
    <xdr:from>
      <xdr:col>7</xdr:col>
      <xdr:colOff>178195</xdr:colOff>
      <xdr:row>11</xdr:row>
      <xdr:rowOff>137297</xdr:rowOff>
    </xdr:from>
    <xdr:to>
      <xdr:col>8</xdr:col>
      <xdr:colOff>353934</xdr:colOff>
      <xdr:row>14</xdr:row>
      <xdr:rowOff>65902</xdr:rowOff>
    </xdr:to>
    <xdr:grpSp>
      <xdr:nvGrpSpPr>
        <xdr:cNvPr id="46" name="Group 45">
          <a:extLst>
            <a:ext uri="{FF2B5EF4-FFF2-40B4-BE49-F238E27FC236}">
              <a16:creationId xmlns:a16="http://schemas.microsoft.com/office/drawing/2014/main" id="{00000000-0008-0000-0100-00002E000000}"/>
            </a:ext>
          </a:extLst>
        </xdr:cNvPr>
        <xdr:cNvGrpSpPr/>
      </xdr:nvGrpSpPr>
      <xdr:grpSpPr>
        <a:xfrm>
          <a:off x="4464445" y="2157958"/>
          <a:ext cx="788060" cy="479694"/>
          <a:chOff x="4331732" y="2176162"/>
          <a:chExt cx="782592" cy="484659"/>
        </a:xfrm>
      </xdr:grpSpPr>
      <xdr:graphicFrame macro="">
        <xdr:nvGraphicFramePr>
          <xdr:cNvPr id="42" name="Chart 41">
            <a:extLst>
              <a:ext uri="{FF2B5EF4-FFF2-40B4-BE49-F238E27FC236}">
                <a16:creationId xmlns:a16="http://schemas.microsoft.com/office/drawing/2014/main" id="{00000000-0008-0000-0100-00002A000000}"/>
              </a:ext>
            </a:extLst>
          </xdr:cNvPr>
          <xdr:cNvGraphicFramePr>
            <a:graphicFrameLocks/>
          </xdr:cNvGraphicFramePr>
        </xdr:nvGraphicFramePr>
        <xdr:xfrm>
          <a:off x="4414108" y="2176162"/>
          <a:ext cx="700216" cy="484659"/>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mc:Choice xmlns:a14="http://schemas.microsoft.com/office/drawing/2010/main" Requires="a14">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4331732" y="2300488"/>
                <a:ext cx="686486" cy="232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sp macro="" textlink="">
        <xdr:nvSpPr>
          <xdr:cNvPr id="45" name="Rectangle 44">
            <a:extLst>
              <a:ext uri="{FF2B5EF4-FFF2-40B4-BE49-F238E27FC236}">
                <a16:creationId xmlns:a16="http://schemas.microsoft.com/office/drawing/2014/main" id="{00000000-0008-0000-0100-00002D000000}"/>
              </a:ext>
            </a:extLst>
          </xdr:cNvPr>
          <xdr:cNvSpPr/>
        </xdr:nvSpPr>
        <xdr:spPr>
          <a:xfrm>
            <a:off x="4352325" y="2347784"/>
            <a:ext cx="164756" cy="144162"/>
          </a:xfrm>
          <a:prstGeom prst="rect">
            <a:avLst/>
          </a:prstGeom>
          <a:solidFill>
            <a:srgbClr val="03417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1</xdr:col>
      <xdr:colOff>226137</xdr:colOff>
      <xdr:row>21</xdr:row>
      <xdr:rowOff>157891</xdr:rowOff>
    </xdr:from>
    <xdr:to>
      <xdr:col>9</xdr:col>
      <xdr:colOff>601351</xdr:colOff>
      <xdr:row>23</xdr:row>
      <xdr:rowOff>140939</xdr:rowOff>
    </xdr:to>
    <mc:AlternateContent xmlns:mc="http://schemas.openxmlformats.org/markup-compatibility/2006" xmlns:a14="http://schemas.microsoft.com/office/drawing/2010/main">
      <mc:Choice Requires="a14">
        <xdr:graphicFrame macro="">
          <xdr:nvGraphicFramePr>
            <xdr:cNvPr id="26" name="Months (Order_Date)">
              <a:extLst>
                <a:ext uri="{FF2B5EF4-FFF2-40B4-BE49-F238E27FC236}">
                  <a16:creationId xmlns:a16="http://schemas.microsoft.com/office/drawing/2014/main" id="{00000000-0008-0000-0100-00001A000000}"/>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838458" y="4015516"/>
              <a:ext cx="5273786" cy="3504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546202</xdr:colOff>
      <xdr:row>11</xdr:row>
      <xdr:rowOff>130091</xdr:rowOff>
    </xdr:from>
    <xdr:to>
      <xdr:col>15</xdr:col>
      <xdr:colOff>517943</xdr:colOff>
      <xdr:row>25</xdr:row>
      <xdr:rowOff>82550</xdr:rowOff>
    </xdr:to>
    <xdr:graphicFrame macro="">
      <xdr:nvGraphicFramePr>
        <xdr:cNvPr id="49" name="Chart 48">
          <a:extLst>
            <a:ext uri="{FF2B5EF4-FFF2-40B4-BE49-F238E27FC236}">
              <a16:creationId xmlns:a16="http://schemas.microsoft.com/office/drawing/2014/main" id="{00000000-0008-0000-0100-00003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282273</xdr:colOff>
      <xdr:row>20</xdr:row>
      <xdr:rowOff>21874</xdr:rowOff>
    </xdr:from>
    <xdr:to>
      <xdr:col>13</xdr:col>
      <xdr:colOff>589794</xdr:colOff>
      <xdr:row>21</xdr:row>
      <xdr:rowOff>54807</xdr:rowOff>
    </xdr:to>
    <xdr:sp macro="" textlink="Processing!$A$40">
      <xdr:nvSpPr>
        <xdr:cNvPr id="51" name="TextBox 50">
          <a:extLst>
            <a:ext uri="{FF2B5EF4-FFF2-40B4-BE49-F238E27FC236}">
              <a16:creationId xmlns:a16="http://schemas.microsoft.com/office/drawing/2014/main" id="{00000000-0008-0000-0100-000033000000}"/>
            </a:ext>
          </a:extLst>
        </xdr:cNvPr>
        <xdr:cNvSpPr txBox="1"/>
      </xdr:nvSpPr>
      <xdr:spPr>
        <a:xfrm>
          <a:off x="7630130" y="3695803"/>
          <a:ext cx="919843" cy="216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0E010C-71B9-4CE1-8E29-AE3DE730933C}" type="TxLink">
            <a:rPr lang="en-US" sz="1000" b="0" i="0" u="none" strike="noStrike">
              <a:solidFill>
                <a:srgbClr val="4393C5"/>
              </a:solidFill>
              <a:latin typeface="Aptos Narrow"/>
              <a:ea typeface="+mn-ea"/>
              <a:cs typeface="+mn-cs"/>
            </a:rPr>
            <a:pPr marL="0" indent="0" algn="l"/>
            <a:t>India</a:t>
          </a:fld>
          <a:endParaRPr lang="ru-RU" sz="1000" b="0" i="0" u="none" strike="noStrike">
            <a:solidFill>
              <a:srgbClr val="4393C5"/>
            </a:solidFill>
            <a:latin typeface="Aptos Narrow"/>
            <a:ea typeface="+mn-ea"/>
            <a:cs typeface="+mn-cs"/>
          </a:endParaRPr>
        </a:p>
      </xdr:txBody>
    </xdr:sp>
    <xdr:clientData/>
  </xdr:twoCellAnchor>
  <xdr:twoCellAnchor>
    <xdr:from>
      <xdr:col>14</xdr:col>
      <xdr:colOff>14465</xdr:colOff>
      <xdr:row>16</xdr:row>
      <xdr:rowOff>111089</xdr:rowOff>
    </xdr:from>
    <xdr:to>
      <xdr:col>15</xdr:col>
      <xdr:colOff>310967</xdr:colOff>
      <xdr:row>19</xdr:row>
      <xdr:rowOff>140377</xdr:rowOff>
    </xdr:to>
    <xdr:sp macro="" textlink="Processing!A44">
      <xdr:nvSpPr>
        <xdr:cNvPr id="63" name="TextBox 62">
          <a:extLst>
            <a:ext uri="{FF2B5EF4-FFF2-40B4-BE49-F238E27FC236}">
              <a16:creationId xmlns:a16="http://schemas.microsoft.com/office/drawing/2014/main" id="{00000000-0008-0000-0100-00003F000000}"/>
            </a:ext>
          </a:extLst>
        </xdr:cNvPr>
        <xdr:cNvSpPr txBox="1"/>
      </xdr:nvSpPr>
      <xdr:spPr>
        <a:xfrm>
          <a:off x="8586965" y="3050232"/>
          <a:ext cx="908823" cy="580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99FF9EE-40E7-40CD-A90C-FCA12E04DD8F}" type="TxLink">
            <a:rPr lang="en-US" sz="1200" b="0" i="0" u="none" strike="noStrike">
              <a:solidFill>
                <a:srgbClr val="0F4672"/>
              </a:solidFill>
              <a:latin typeface="Aptos Narrow"/>
              <a:ea typeface="+mn-ea"/>
              <a:cs typeface="+mn-cs"/>
            </a:rPr>
            <a:pPr marL="0" indent="0" algn="r"/>
            <a:t>Total Cost</a:t>
          </a:fld>
          <a:endParaRPr lang="ru-RU" sz="1200" b="0" i="0" u="none" strike="noStrike">
            <a:solidFill>
              <a:srgbClr val="0F4672"/>
            </a:solidFill>
            <a:latin typeface="Aptos Narrow"/>
            <a:ea typeface="+mn-ea"/>
            <a:cs typeface="+mn-cs"/>
          </a:endParaRPr>
        </a:p>
      </xdr:txBody>
    </xdr:sp>
    <xdr:clientData/>
  </xdr:twoCellAnchor>
  <xdr:twoCellAnchor>
    <xdr:from>
      <xdr:col>12</xdr:col>
      <xdr:colOff>282273</xdr:colOff>
      <xdr:row>21</xdr:row>
      <xdr:rowOff>61992</xdr:rowOff>
    </xdr:from>
    <xdr:to>
      <xdr:col>13</xdr:col>
      <xdr:colOff>589794</xdr:colOff>
      <xdr:row>22</xdr:row>
      <xdr:rowOff>94925</xdr:rowOff>
    </xdr:to>
    <xdr:sp macro="" textlink="Processing!$A$41">
      <xdr:nvSpPr>
        <xdr:cNvPr id="3077" name="TextBox 3076">
          <a:extLst>
            <a:ext uri="{FF2B5EF4-FFF2-40B4-BE49-F238E27FC236}">
              <a16:creationId xmlns:a16="http://schemas.microsoft.com/office/drawing/2014/main" id="{00000000-0008-0000-0100-0000050C0000}"/>
            </a:ext>
          </a:extLst>
        </xdr:cNvPr>
        <xdr:cNvSpPr txBox="1"/>
      </xdr:nvSpPr>
      <xdr:spPr>
        <a:xfrm>
          <a:off x="7630130" y="3919617"/>
          <a:ext cx="919843" cy="216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F95910B-62D9-4A8E-904E-DEE458B5A051}" type="TxLink">
            <a:rPr lang="en-US" sz="1000" b="0" i="0" u="none" strike="noStrike">
              <a:solidFill>
                <a:srgbClr val="4393C5"/>
              </a:solidFill>
              <a:latin typeface="Aptos Narrow"/>
              <a:ea typeface="+mn-ea"/>
              <a:cs typeface="+mn-cs"/>
            </a:rPr>
            <a:pPr marL="0" indent="0" algn="l"/>
            <a:t>Germany</a:t>
          </a:fld>
          <a:endParaRPr lang="ru-RU" sz="1000" b="0" i="0" u="none" strike="noStrike">
            <a:solidFill>
              <a:srgbClr val="4393C5"/>
            </a:solidFill>
            <a:latin typeface="Aptos Narrow"/>
            <a:ea typeface="+mn-ea"/>
            <a:cs typeface="+mn-cs"/>
          </a:endParaRPr>
        </a:p>
      </xdr:txBody>
    </xdr:sp>
    <xdr:clientData/>
  </xdr:twoCellAnchor>
  <xdr:twoCellAnchor>
    <xdr:from>
      <xdr:col>12</xdr:col>
      <xdr:colOff>282273</xdr:colOff>
      <xdr:row>22</xdr:row>
      <xdr:rowOff>102110</xdr:rowOff>
    </xdr:from>
    <xdr:to>
      <xdr:col>13</xdr:col>
      <xdr:colOff>589794</xdr:colOff>
      <xdr:row>23</xdr:row>
      <xdr:rowOff>135042</xdr:rowOff>
    </xdr:to>
    <xdr:sp macro="" textlink="Processing!$A$42">
      <xdr:nvSpPr>
        <xdr:cNvPr id="3078" name="TextBox 3077">
          <a:extLst>
            <a:ext uri="{FF2B5EF4-FFF2-40B4-BE49-F238E27FC236}">
              <a16:creationId xmlns:a16="http://schemas.microsoft.com/office/drawing/2014/main" id="{00000000-0008-0000-0100-0000060C0000}"/>
            </a:ext>
          </a:extLst>
        </xdr:cNvPr>
        <xdr:cNvSpPr txBox="1"/>
      </xdr:nvSpPr>
      <xdr:spPr>
        <a:xfrm>
          <a:off x="7630130" y="4143431"/>
          <a:ext cx="919843" cy="216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44D65D2-A71B-46A6-843F-7A183C3E1BEE}" type="TxLink">
            <a:rPr lang="en-US" sz="1000" b="0" i="0" u="none" strike="noStrike">
              <a:solidFill>
                <a:srgbClr val="4393C5"/>
              </a:solidFill>
              <a:latin typeface="Aptos Narrow"/>
              <a:ea typeface="+mn-ea"/>
              <a:cs typeface="+mn-cs"/>
            </a:rPr>
            <a:pPr marL="0" indent="0" algn="l"/>
            <a:t>USA</a:t>
          </a:fld>
          <a:endParaRPr lang="ru-RU" sz="1000" b="0" i="0" u="none" strike="noStrike">
            <a:solidFill>
              <a:srgbClr val="4393C5"/>
            </a:solidFill>
            <a:latin typeface="Aptos Narrow"/>
            <a:ea typeface="+mn-ea"/>
            <a:cs typeface="+mn-cs"/>
          </a:endParaRPr>
        </a:p>
      </xdr:txBody>
    </xdr:sp>
    <xdr:clientData/>
  </xdr:twoCellAnchor>
  <xdr:twoCellAnchor>
    <xdr:from>
      <xdr:col>12</xdr:col>
      <xdr:colOff>282273</xdr:colOff>
      <xdr:row>23</xdr:row>
      <xdr:rowOff>142227</xdr:rowOff>
    </xdr:from>
    <xdr:to>
      <xdr:col>13</xdr:col>
      <xdr:colOff>589794</xdr:colOff>
      <xdr:row>24</xdr:row>
      <xdr:rowOff>176612</xdr:rowOff>
    </xdr:to>
    <xdr:sp macro="" textlink="Processing!$A$43">
      <xdr:nvSpPr>
        <xdr:cNvPr id="3079" name="TextBox 3078">
          <a:extLst>
            <a:ext uri="{FF2B5EF4-FFF2-40B4-BE49-F238E27FC236}">
              <a16:creationId xmlns:a16="http://schemas.microsoft.com/office/drawing/2014/main" id="{00000000-0008-0000-0100-0000070C0000}"/>
            </a:ext>
          </a:extLst>
        </xdr:cNvPr>
        <xdr:cNvSpPr txBox="1"/>
      </xdr:nvSpPr>
      <xdr:spPr>
        <a:xfrm>
          <a:off x="7630130" y="4367245"/>
          <a:ext cx="919843" cy="218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7E86701-EAB3-4466-828C-5938D25E2E55}" type="TxLink">
            <a:rPr lang="en-US" sz="1000" b="0" i="0" u="none" strike="noStrike">
              <a:solidFill>
                <a:srgbClr val="4393C5"/>
              </a:solidFill>
              <a:latin typeface="Aptos Narrow"/>
              <a:ea typeface="+mn-ea"/>
              <a:cs typeface="+mn-cs"/>
            </a:rPr>
            <a:pPr marL="0" indent="0" algn="l"/>
            <a:t>China</a:t>
          </a:fld>
          <a:endParaRPr lang="ru-RU" sz="1000" b="0" i="0" u="none" strike="noStrike">
            <a:solidFill>
              <a:srgbClr val="4393C5"/>
            </a:solidFill>
            <a:latin typeface="Aptos Narrow"/>
            <a:ea typeface="+mn-ea"/>
            <a:cs typeface="+mn-cs"/>
          </a:endParaRPr>
        </a:p>
      </xdr:txBody>
    </xdr:sp>
    <xdr:clientData/>
  </xdr:twoCellAnchor>
  <xdr:twoCellAnchor>
    <xdr:from>
      <xdr:col>14</xdr:col>
      <xdr:colOff>325454</xdr:colOff>
      <xdr:row>20</xdr:row>
      <xdr:rowOff>21874</xdr:rowOff>
    </xdr:from>
    <xdr:to>
      <xdr:col>15</xdr:col>
      <xdr:colOff>268876</xdr:colOff>
      <xdr:row>21</xdr:row>
      <xdr:rowOff>54807</xdr:rowOff>
    </xdr:to>
    <xdr:sp macro="" textlink="Processing!$B$40">
      <xdr:nvSpPr>
        <xdr:cNvPr id="3080" name="TextBox 3079">
          <a:extLst>
            <a:ext uri="{FF2B5EF4-FFF2-40B4-BE49-F238E27FC236}">
              <a16:creationId xmlns:a16="http://schemas.microsoft.com/office/drawing/2014/main" id="{00000000-0008-0000-0100-0000080C0000}"/>
            </a:ext>
          </a:extLst>
        </xdr:cNvPr>
        <xdr:cNvSpPr txBox="1"/>
      </xdr:nvSpPr>
      <xdr:spPr>
        <a:xfrm>
          <a:off x="8897954" y="3695803"/>
          <a:ext cx="555743" cy="216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1AF911B-6239-4E78-A74C-21817DE985E0}" type="TxLink">
            <a:rPr lang="en-US" sz="1100" b="0" i="0" u="none" strike="noStrike">
              <a:solidFill>
                <a:srgbClr val="003264"/>
              </a:solidFill>
              <a:latin typeface="Aptos Narrow"/>
              <a:ea typeface="+mn-ea"/>
              <a:cs typeface="+mn-cs"/>
            </a:rPr>
            <a:pPr marL="0" indent="0" algn="l"/>
            <a:t>$162K</a:t>
          </a:fld>
          <a:endParaRPr lang="ru-RU" sz="1100" b="0" i="0" u="none" strike="noStrike">
            <a:solidFill>
              <a:srgbClr val="003264"/>
            </a:solidFill>
            <a:latin typeface="Aptos Narrow"/>
            <a:ea typeface="+mn-ea"/>
            <a:cs typeface="+mn-cs"/>
          </a:endParaRPr>
        </a:p>
      </xdr:txBody>
    </xdr:sp>
    <xdr:clientData/>
  </xdr:twoCellAnchor>
  <xdr:twoCellAnchor>
    <xdr:from>
      <xdr:col>14</xdr:col>
      <xdr:colOff>325454</xdr:colOff>
      <xdr:row>21</xdr:row>
      <xdr:rowOff>62476</xdr:rowOff>
    </xdr:from>
    <xdr:to>
      <xdr:col>15</xdr:col>
      <xdr:colOff>268876</xdr:colOff>
      <xdr:row>22</xdr:row>
      <xdr:rowOff>95409</xdr:rowOff>
    </xdr:to>
    <xdr:sp macro="" textlink="Processing!$B$41">
      <xdr:nvSpPr>
        <xdr:cNvPr id="3081" name="TextBox 3080">
          <a:extLst>
            <a:ext uri="{FF2B5EF4-FFF2-40B4-BE49-F238E27FC236}">
              <a16:creationId xmlns:a16="http://schemas.microsoft.com/office/drawing/2014/main" id="{00000000-0008-0000-0100-0000090C0000}"/>
            </a:ext>
          </a:extLst>
        </xdr:cNvPr>
        <xdr:cNvSpPr txBox="1"/>
      </xdr:nvSpPr>
      <xdr:spPr>
        <a:xfrm>
          <a:off x="8897954" y="3920101"/>
          <a:ext cx="555743" cy="216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4392F82-850B-45F5-89A4-90B09C258A05}" type="TxLink">
            <a:rPr lang="en-US" sz="1100" b="0" i="0" u="none" strike="noStrike">
              <a:solidFill>
                <a:srgbClr val="003264"/>
              </a:solidFill>
              <a:latin typeface="Aptos Narrow"/>
              <a:ea typeface="+mn-ea"/>
              <a:cs typeface="+mn-cs"/>
            </a:rPr>
            <a:pPr marL="0" indent="0" algn="l"/>
            <a:t>$237K</a:t>
          </a:fld>
          <a:endParaRPr lang="ru-RU" sz="1100" b="0" i="0" u="none" strike="noStrike">
            <a:solidFill>
              <a:srgbClr val="003264"/>
            </a:solidFill>
            <a:latin typeface="Aptos Narrow"/>
            <a:ea typeface="+mn-ea"/>
            <a:cs typeface="+mn-cs"/>
          </a:endParaRPr>
        </a:p>
      </xdr:txBody>
    </xdr:sp>
    <xdr:clientData/>
  </xdr:twoCellAnchor>
  <xdr:twoCellAnchor>
    <xdr:from>
      <xdr:col>14</xdr:col>
      <xdr:colOff>325454</xdr:colOff>
      <xdr:row>22</xdr:row>
      <xdr:rowOff>103078</xdr:rowOff>
    </xdr:from>
    <xdr:to>
      <xdr:col>15</xdr:col>
      <xdr:colOff>268876</xdr:colOff>
      <xdr:row>23</xdr:row>
      <xdr:rowOff>136011</xdr:rowOff>
    </xdr:to>
    <xdr:sp macro="" textlink="Processing!$B$42">
      <xdr:nvSpPr>
        <xdr:cNvPr id="3082" name="TextBox 3081">
          <a:extLst>
            <a:ext uri="{FF2B5EF4-FFF2-40B4-BE49-F238E27FC236}">
              <a16:creationId xmlns:a16="http://schemas.microsoft.com/office/drawing/2014/main" id="{00000000-0008-0000-0100-00000A0C0000}"/>
            </a:ext>
          </a:extLst>
        </xdr:cNvPr>
        <xdr:cNvSpPr txBox="1"/>
      </xdr:nvSpPr>
      <xdr:spPr>
        <a:xfrm>
          <a:off x="8897954" y="4144399"/>
          <a:ext cx="555743" cy="216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21F8366-D53E-43B0-9349-4BC84070955D}" type="TxLink">
            <a:rPr lang="en-US" sz="1100" b="0" i="0" u="none" strike="noStrike">
              <a:solidFill>
                <a:srgbClr val="003264"/>
              </a:solidFill>
              <a:latin typeface="Aptos Narrow"/>
              <a:ea typeface="+mn-ea"/>
              <a:cs typeface="+mn-cs"/>
            </a:rPr>
            <a:pPr marL="0" indent="0" algn="l"/>
            <a:t>$73K</a:t>
          </a:fld>
          <a:endParaRPr lang="ru-RU" sz="1100" b="0" i="0" u="none" strike="noStrike">
            <a:solidFill>
              <a:srgbClr val="003264"/>
            </a:solidFill>
            <a:latin typeface="Aptos Narrow"/>
            <a:ea typeface="+mn-ea"/>
            <a:cs typeface="+mn-cs"/>
          </a:endParaRPr>
        </a:p>
      </xdr:txBody>
    </xdr:sp>
    <xdr:clientData/>
  </xdr:twoCellAnchor>
  <xdr:twoCellAnchor>
    <xdr:from>
      <xdr:col>14</xdr:col>
      <xdr:colOff>325454</xdr:colOff>
      <xdr:row>23</xdr:row>
      <xdr:rowOff>143679</xdr:rowOff>
    </xdr:from>
    <xdr:to>
      <xdr:col>15</xdr:col>
      <xdr:colOff>268876</xdr:colOff>
      <xdr:row>24</xdr:row>
      <xdr:rowOff>176612</xdr:rowOff>
    </xdr:to>
    <xdr:sp macro="" textlink="Processing!$B$43">
      <xdr:nvSpPr>
        <xdr:cNvPr id="3083" name="TextBox 3082">
          <a:extLst>
            <a:ext uri="{FF2B5EF4-FFF2-40B4-BE49-F238E27FC236}">
              <a16:creationId xmlns:a16="http://schemas.microsoft.com/office/drawing/2014/main" id="{00000000-0008-0000-0100-00000B0C0000}"/>
            </a:ext>
          </a:extLst>
        </xdr:cNvPr>
        <xdr:cNvSpPr txBox="1"/>
      </xdr:nvSpPr>
      <xdr:spPr>
        <a:xfrm>
          <a:off x="8897954" y="4368697"/>
          <a:ext cx="555743" cy="216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39305C7-9BF7-4E40-8049-6060458093FF}" type="TxLink">
            <a:rPr lang="en-US" sz="1100" b="0" i="0" u="none" strike="noStrike">
              <a:solidFill>
                <a:srgbClr val="003264"/>
              </a:solidFill>
              <a:latin typeface="Aptos Narrow"/>
              <a:ea typeface="+mn-ea"/>
              <a:cs typeface="+mn-cs"/>
            </a:rPr>
            <a:pPr marL="0" indent="0" algn="l"/>
            <a:t>$70K</a:t>
          </a:fld>
          <a:endParaRPr lang="ru-RU" sz="1100" b="0" i="0" u="none" strike="noStrike">
            <a:solidFill>
              <a:srgbClr val="003264"/>
            </a:solidFill>
            <a:latin typeface="Aptos Narrow"/>
            <a:ea typeface="+mn-ea"/>
            <a:cs typeface="+mn-cs"/>
          </a:endParaRPr>
        </a:p>
      </xdr:txBody>
    </xdr:sp>
    <xdr:clientData/>
  </xdr:twoCellAnchor>
  <xdr:twoCellAnchor>
    <xdr:from>
      <xdr:col>12</xdr:col>
      <xdr:colOff>356687</xdr:colOff>
      <xdr:row>18</xdr:row>
      <xdr:rowOff>80245</xdr:rowOff>
    </xdr:from>
    <xdr:to>
      <xdr:col>15</xdr:col>
      <xdr:colOff>289718</xdr:colOff>
      <xdr:row>20</xdr:row>
      <xdr:rowOff>130909</xdr:rowOff>
    </xdr:to>
    <xdr:sp macro="" textlink="Processing!B44">
      <xdr:nvSpPr>
        <xdr:cNvPr id="3084" name="TextBox 3083">
          <a:extLst>
            <a:ext uri="{FF2B5EF4-FFF2-40B4-BE49-F238E27FC236}">
              <a16:creationId xmlns:a16="http://schemas.microsoft.com/office/drawing/2014/main" id="{00000000-0008-0000-0100-00000C0C0000}"/>
            </a:ext>
          </a:extLst>
        </xdr:cNvPr>
        <xdr:cNvSpPr txBox="1"/>
      </xdr:nvSpPr>
      <xdr:spPr>
        <a:xfrm>
          <a:off x="7704544" y="3386781"/>
          <a:ext cx="1769995" cy="418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DF1A7B8-F000-4E8C-97FE-0D4031223C6F}" type="TxLink">
            <a:rPr lang="en-US" sz="2000" b="0" i="0" u="none" strike="noStrike">
              <a:solidFill>
                <a:srgbClr val="0F4672"/>
              </a:solidFill>
              <a:latin typeface="Aptos Narrow"/>
              <a:ea typeface="+mn-ea"/>
              <a:cs typeface="+mn-cs"/>
            </a:rPr>
            <a:pPr marL="0" indent="0" algn="r"/>
            <a:t>$542,538</a:t>
          </a:fld>
          <a:endParaRPr lang="ru-RU" sz="2000" b="0" i="0" u="none" strike="noStrike">
            <a:solidFill>
              <a:srgbClr val="0F4672"/>
            </a:solidFill>
            <a:latin typeface="Aptos Narrow"/>
            <a:ea typeface="+mn-ea"/>
            <a:cs typeface="+mn-cs"/>
          </a:endParaRPr>
        </a:p>
      </xdr:txBody>
    </xdr:sp>
    <xdr:clientData/>
  </xdr:twoCellAnchor>
  <xdr:twoCellAnchor>
    <xdr:from>
      <xdr:col>12</xdr:col>
      <xdr:colOff>242781</xdr:colOff>
      <xdr:row>20</xdr:row>
      <xdr:rowOff>70676</xdr:rowOff>
    </xdr:from>
    <xdr:to>
      <xdr:col>12</xdr:col>
      <xdr:colOff>364374</xdr:colOff>
      <xdr:row>21</xdr:row>
      <xdr:rowOff>8119</xdr:rowOff>
    </xdr:to>
    <xdr:sp macro="" textlink="">
      <xdr:nvSpPr>
        <xdr:cNvPr id="3087" name="Oval 3086">
          <a:extLst>
            <a:ext uri="{FF2B5EF4-FFF2-40B4-BE49-F238E27FC236}">
              <a16:creationId xmlns:a16="http://schemas.microsoft.com/office/drawing/2014/main" id="{00000000-0008-0000-0100-00000F0C0000}"/>
            </a:ext>
          </a:extLst>
        </xdr:cNvPr>
        <xdr:cNvSpPr/>
      </xdr:nvSpPr>
      <xdr:spPr>
        <a:xfrm>
          <a:off x="7590638" y="3744605"/>
          <a:ext cx="121593" cy="121139"/>
        </a:xfrm>
        <a:prstGeom prst="ellipse">
          <a:avLst/>
        </a:prstGeom>
        <a:solidFill>
          <a:srgbClr val="4393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242781</xdr:colOff>
      <xdr:row>21</xdr:row>
      <xdr:rowOff>110831</xdr:rowOff>
    </xdr:from>
    <xdr:to>
      <xdr:col>12</xdr:col>
      <xdr:colOff>364374</xdr:colOff>
      <xdr:row>22</xdr:row>
      <xdr:rowOff>48274</xdr:rowOff>
    </xdr:to>
    <xdr:sp macro="" textlink="">
      <xdr:nvSpPr>
        <xdr:cNvPr id="3088" name="Oval 3087">
          <a:extLst>
            <a:ext uri="{FF2B5EF4-FFF2-40B4-BE49-F238E27FC236}">
              <a16:creationId xmlns:a16="http://schemas.microsoft.com/office/drawing/2014/main" id="{00000000-0008-0000-0100-0000100C0000}"/>
            </a:ext>
          </a:extLst>
        </xdr:cNvPr>
        <xdr:cNvSpPr/>
      </xdr:nvSpPr>
      <xdr:spPr>
        <a:xfrm>
          <a:off x="7590638" y="3968456"/>
          <a:ext cx="121593" cy="121139"/>
        </a:xfrm>
        <a:prstGeom prst="ellipse">
          <a:avLst/>
        </a:prstGeom>
        <a:solidFill>
          <a:srgbClr val="4393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242781</xdr:colOff>
      <xdr:row>22</xdr:row>
      <xdr:rowOff>150986</xdr:rowOff>
    </xdr:from>
    <xdr:to>
      <xdr:col>12</xdr:col>
      <xdr:colOff>364374</xdr:colOff>
      <xdr:row>23</xdr:row>
      <xdr:rowOff>88430</xdr:rowOff>
    </xdr:to>
    <xdr:sp macro="" textlink="">
      <xdr:nvSpPr>
        <xdr:cNvPr id="3089" name="Oval 3088">
          <a:extLst>
            <a:ext uri="{FF2B5EF4-FFF2-40B4-BE49-F238E27FC236}">
              <a16:creationId xmlns:a16="http://schemas.microsoft.com/office/drawing/2014/main" id="{00000000-0008-0000-0100-0000110C0000}"/>
            </a:ext>
          </a:extLst>
        </xdr:cNvPr>
        <xdr:cNvSpPr/>
      </xdr:nvSpPr>
      <xdr:spPr>
        <a:xfrm>
          <a:off x="7590638" y="4192307"/>
          <a:ext cx="121593" cy="121141"/>
        </a:xfrm>
        <a:prstGeom prst="ellipse">
          <a:avLst/>
        </a:prstGeom>
        <a:solidFill>
          <a:srgbClr val="4393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242781</xdr:colOff>
      <xdr:row>24</xdr:row>
      <xdr:rowOff>8263</xdr:rowOff>
    </xdr:from>
    <xdr:to>
      <xdr:col>12</xdr:col>
      <xdr:colOff>364374</xdr:colOff>
      <xdr:row>24</xdr:row>
      <xdr:rowOff>127135</xdr:rowOff>
    </xdr:to>
    <xdr:sp macro="" textlink="">
      <xdr:nvSpPr>
        <xdr:cNvPr id="3090" name="Oval 3089">
          <a:extLst>
            <a:ext uri="{FF2B5EF4-FFF2-40B4-BE49-F238E27FC236}">
              <a16:creationId xmlns:a16="http://schemas.microsoft.com/office/drawing/2014/main" id="{00000000-0008-0000-0100-0000120C0000}"/>
            </a:ext>
          </a:extLst>
        </xdr:cNvPr>
        <xdr:cNvSpPr/>
      </xdr:nvSpPr>
      <xdr:spPr>
        <a:xfrm>
          <a:off x="7590638" y="4416977"/>
          <a:ext cx="121593" cy="118872"/>
        </a:xfrm>
        <a:prstGeom prst="ellipse">
          <a:avLst/>
        </a:prstGeom>
        <a:solidFill>
          <a:srgbClr val="4393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89805</xdr:colOff>
      <xdr:row>12</xdr:row>
      <xdr:rowOff>16319</xdr:rowOff>
    </xdr:from>
    <xdr:to>
      <xdr:col>15</xdr:col>
      <xdr:colOff>294913</xdr:colOff>
      <xdr:row>15</xdr:row>
      <xdr:rowOff>0</xdr:rowOff>
    </xdr:to>
    <xdr:sp macro="" textlink="Processing!A39">
      <xdr:nvSpPr>
        <xdr:cNvPr id="3091" name="TextBox 3090">
          <a:extLst>
            <a:ext uri="{FF2B5EF4-FFF2-40B4-BE49-F238E27FC236}">
              <a16:creationId xmlns:a16="http://schemas.microsoft.com/office/drawing/2014/main" id="{00000000-0008-0000-0100-0000130C0000}"/>
            </a:ext>
          </a:extLst>
        </xdr:cNvPr>
        <xdr:cNvSpPr txBox="1"/>
      </xdr:nvSpPr>
      <xdr:spPr>
        <a:xfrm>
          <a:off x="8049984" y="2220676"/>
          <a:ext cx="1429750" cy="534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87E5470-EEEF-4B1D-B10A-4921A56DC9B5}" type="TxLink">
            <a:rPr lang="en-US" sz="1400" b="0" i="0" u="none" strike="noStrike">
              <a:solidFill>
                <a:srgbClr val="0F4672"/>
              </a:solidFill>
              <a:latin typeface="Aptos Narrow"/>
              <a:ea typeface="+mn-ea"/>
              <a:cs typeface="+mn-cs"/>
            </a:rPr>
            <a:pPr marL="0" indent="0" algn="r"/>
            <a:t>Country by Total Cost</a:t>
          </a:fld>
          <a:endParaRPr lang="ru-RU" sz="1400" b="0" i="0" u="none" strike="noStrike">
            <a:solidFill>
              <a:srgbClr val="0F4672"/>
            </a:solidFill>
            <a:latin typeface="Aptos Narrow"/>
            <a:ea typeface="+mn-ea"/>
            <a:cs typeface="+mn-cs"/>
          </a:endParaRPr>
        </a:p>
      </xdr:txBody>
    </xdr:sp>
    <xdr:clientData/>
  </xdr:twoCellAnchor>
  <xdr:twoCellAnchor>
    <xdr:from>
      <xdr:col>13</xdr:col>
      <xdr:colOff>106676</xdr:colOff>
      <xdr:row>19</xdr:row>
      <xdr:rowOff>76898</xdr:rowOff>
    </xdr:from>
    <xdr:to>
      <xdr:col>14</xdr:col>
      <xdr:colOff>516263</xdr:colOff>
      <xdr:row>25</xdr:row>
      <xdr:rowOff>132825</xdr:rowOff>
    </xdr:to>
    <xdr:graphicFrame macro="">
      <xdr:nvGraphicFramePr>
        <xdr:cNvPr id="3092" name="Chart 3091">
          <a:extLst>
            <a:ext uri="{FF2B5EF4-FFF2-40B4-BE49-F238E27FC236}">
              <a16:creationId xmlns:a16="http://schemas.microsoft.com/office/drawing/2014/main" id="{00000000-0008-0000-0100-000014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175442</xdr:colOff>
      <xdr:row>3</xdr:row>
      <xdr:rowOff>64095</xdr:rowOff>
    </xdr:from>
    <xdr:to>
      <xdr:col>19</xdr:col>
      <xdr:colOff>436614</xdr:colOff>
      <xdr:row>18</xdr:row>
      <xdr:rowOff>80873</xdr:rowOff>
    </xdr:to>
    <xdr:graphicFrame macro="">
      <xdr:nvGraphicFramePr>
        <xdr:cNvPr id="3093" name="Chart 3092">
          <a:extLst>
            <a:ext uri="{FF2B5EF4-FFF2-40B4-BE49-F238E27FC236}">
              <a16:creationId xmlns:a16="http://schemas.microsoft.com/office/drawing/2014/main" id="{00000000-0008-0000-0100-000015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481309</xdr:colOff>
      <xdr:row>5</xdr:row>
      <xdr:rowOff>27964</xdr:rowOff>
    </xdr:from>
    <xdr:to>
      <xdr:col>19</xdr:col>
      <xdr:colOff>127650</xdr:colOff>
      <xdr:row>16</xdr:row>
      <xdr:rowOff>111855</xdr:rowOff>
    </xdr:to>
    <xdr:sp macro="" textlink="">
      <xdr:nvSpPr>
        <xdr:cNvPr id="3094" name="Circle: Hollow 3093">
          <a:extLst>
            <a:ext uri="{FF2B5EF4-FFF2-40B4-BE49-F238E27FC236}">
              <a16:creationId xmlns:a16="http://schemas.microsoft.com/office/drawing/2014/main" id="{00000000-0008-0000-0100-0000160C0000}"/>
            </a:ext>
          </a:extLst>
        </xdr:cNvPr>
        <xdr:cNvSpPr/>
      </xdr:nvSpPr>
      <xdr:spPr>
        <a:xfrm>
          <a:off x="9666130" y="946446"/>
          <a:ext cx="2095627" cy="2104552"/>
        </a:xfrm>
        <a:prstGeom prst="donut">
          <a:avLst>
            <a:gd name="adj" fmla="val 9222"/>
          </a:avLst>
        </a:prstGeom>
        <a:solidFill>
          <a:srgbClr val="EAF2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16</xdr:col>
      <xdr:colOff>188656</xdr:colOff>
      <xdr:row>15</xdr:row>
      <xdr:rowOff>153798</xdr:rowOff>
    </xdr:from>
    <xdr:to>
      <xdr:col>19</xdr:col>
      <xdr:colOff>192852</xdr:colOff>
      <xdr:row>17</xdr:row>
      <xdr:rowOff>146808</xdr:rowOff>
    </xdr:to>
    <mc:AlternateContent xmlns:mc="http://schemas.openxmlformats.org/markup-compatibility/2006" xmlns:a14="http://schemas.microsoft.com/office/drawing/2010/main">
      <mc:Choice Requires="a14">
        <xdr:graphicFrame macro="">
          <xdr:nvGraphicFramePr>
            <xdr:cNvPr id="3095" name="Warehouse">
              <a:extLst>
                <a:ext uri="{FF2B5EF4-FFF2-40B4-BE49-F238E27FC236}">
                  <a16:creationId xmlns:a16="http://schemas.microsoft.com/office/drawing/2014/main" id="{00000000-0008-0000-0100-0000170C0000}"/>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9985799" y="2909244"/>
              <a:ext cx="1841160" cy="3604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37979</xdr:colOff>
      <xdr:row>9</xdr:row>
      <xdr:rowOff>143162</xdr:rowOff>
    </xdr:from>
    <xdr:to>
      <xdr:col>18</xdr:col>
      <xdr:colOff>584681</xdr:colOff>
      <xdr:row>12</xdr:row>
      <xdr:rowOff>12064</xdr:rowOff>
    </xdr:to>
    <xdr:sp macro="" textlink="Processing!A55">
      <xdr:nvSpPr>
        <xdr:cNvPr id="3099" name="TextBox 3098">
          <a:extLst>
            <a:ext uri="{FF2B5EF4-FFF2-40B4-BE49-F238E27FC236}">
              <a16:creationId xmlns:a16="http://schemas.microsoft.com/office/drawing/2014/main" id="{00000000-0008-0000-0100-00001B0C0000}"/>
            </a:ext>
          </a:extLst>
        </xdr:cNvPr>
        <xdr:cNvSpPr txBox="1"/>
      </xdr:nvSpPr>
      <xdr:spPr>
        <a:xfrm>
          <a:off x="9835122" y="1796430"/>
          <a:ext cx="1771345" cy="419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CD2E633-0E67-4DC1-92A7-66C4244484A7}" type="TxLink">
            <a:rPr lang="en-US" sz="2800" b="1" i="0" u="none" strike="noStrike">
              <a:solidFill>
                <a:srgbClr val="003264"/>
              </a:solidFill>
              <a:latin typeface="Aptos Narrow"/>
              <a:ea typeface="+mn-ea"/>
              <a:cs typeface="+mn-cs"/>
            </a:rPr>
            <a:pPr marL="0" indent="0" algn="ctr"/>
            <a:t>103</a:t>
          </a:fld>
          <a:endParaRPr lang="ru-RU" sz="2800" b="1" i="0" u="none" strike="noStrike">
            <a:solidFill>
              <a:srgbClr val="003264"/>
            </a:solidFill>
            <a:latin typeface="Aptos Narrow"/>
            <a:ea typeface="+mn-ea"/>
            <a:cs typeface="+mn-cs"/>
          </a:endParaRPr>
        </a:p>
      </xdr:txBody>
    </xdr:sp>
    <xdr:clientData/>
  </xdr:twoCellAnchor>
  <xdr:twoCellAnchor>
    <xdr:from>
      <xdr:col>17</xdr:col>
      <xdr:colOff>288321</xdr:colOff>
      <xdr:row>5</xdr:row>
      <xdr:rowOff>23311</xdr:rowOff>
    </xdr:from>
    <xdr:to>
      <xdr:col>19</xdr:col>
      <xdr:colOff>492005</xdr:colOff>
      <xdr:row>8</xdr:row>
      <xdr:rowOff>6991</xdr:rowOff>
    </xdr:to>
    <xdr:sp macro="" textlink="Processing!A51">
      <xdr:nvSpPr>
        <xdr:cNvPr id="3100" name="TextBox 3099">
          <a:extLst>
            <a:ext uri="{FF2B5EF4-FFF2-40B4-BE49-F238E27FC236}">
              <a16:creationId xmlns:a16="http://schemas.microsoft.com/office/drawing/2014/main" id="{00000000-0008-0000-0100-00001C0C0000}"/>
            </a:ext>
          </a:extLst>
        </xdr:cNvPr>
        <xdr:cNvSpPr txBox="1"/>
      </xdr:nvSpPr>
      <xdr:spPr>
        <a:xfrm>
          <a:off x="10697785" y="941793"/>
          <a:ext cx="1428327" cy="534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92A881C-35DF-4600-84AE-4CA4F5300246}" type="TxLink">
            <a:rPr lang="en-US" sz="1400" b="0" i="0" u="none" strike="noStrike">
              <a:solidFill>
                <a:srgbClr val="0F4672"/>
              </a:solidFill>
              <a:latin typeface="Aptos Narrow"/>
              <a:ea typeface="+mn-ea"/>
              <a:cs typeface="+mn-cs"/>
            </a:rPr>
            <a:pPr marL="0" indent="0" algn="r"/>
            <a:t>Warehouse by Orders</a:t>
          </a:fld>
          <a:endParaRPr lang="ru-RU" sz="1400" b="0" i="0" u="none" strike="noStrike">
            <a:solidFill>
              <a:srgbClr val="0F4672"/>
            </a:solidFill>
            <a:latin typeface="Aptos Narrow"/>
            <a:ea typeface="+mn-ea"/>
            <a:cs typeface="+mn-cs"/>
          </a:endParaRPr>
        </a:p>
      </xdr:txBody>
    </xdr:sp>
    <xdr:clientData/>
  </xdr:twoCellAnchor>
  <xdr:twoCellAnchor>
    <xdr:from>
      <xdr:col>16</xdr:col>
      <xdr:colOff>60179</xdr:colOff>
      <xdr:row>19</xdr:row>
      <xdr:rowOff>13983</xdr:rowOff>
    </xdr:from>
    <xdr:to>
      <xdr:col>19</xdr:col>
      <xdr:colOff>355476</xdr:colOff>
      <xdr:row>30</xdr:row>
      <xdr:rowOff>130389</xdr:rowOff>
    </xdr:to>
    <xdr:graphicFrame macro="">
      <xdr:nvGraphicFramePr>
        <xdr:cNvPr id="3101" name="Chart 3100">
          <a:extLst>
            <a:ext uri="{FF2B5EF4-FFF2-40B4-BE49-F238E27FC236}">
              <a16:creationId xmlns:a16="http://schemas.microsoft.com/office/drawing/2014/main" id="{00000000-0008-0000-0100-00001D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33892</xdr:colOff>
      <xdr:row>22</xdr:row>
      <xdr:rowOff>50612</xdr:rowOff>
    </xdr:from>
    <xdr:to>
      <xdr:col>18</xdr:col>
      <xdr:colOff>381766</xdr:colOff>
      <xdr:row>27</xdr:row>
      <xdr:rowOff>93761</xdr:rowOff>
    </xdr:to>
    <xdr:sp macro="" textlink="">
      <xdr:nvSpPr>
        <xdr:cNvPr id="3102" name="Oval 3101">
          <a:extLst>
            <a:ext uri="{FF2B5EF4-FFF2-40B4-BE49-F238E27FC236}">
              <a16:creationId xmlns:a16="http://schemas.microsoft.com/office/drawing/2014/main" id="{00000000-0008-0000-0100-00001E0C0000}"/>
            </a:ext>
          </a:extLst>
        </xdr:cNvPr>
        <xdr:cNvSpPr/>
      </xdr:nvSpPr>
      <xdr:spPr>
        <a:xfrm>
          <a:off x="10443356" y="4091933"/>
          <a:ext cx="960196" cy="961632"/>
        </a:xfrm>
        <a:prstGeom prst="ellipse">
          <a:avLst/>
        </a:prstGeom>
        <a:solidFill>
          <a:srgbClr val="F4F5FC"/>
        </a:solidFill>
        <a:ln>
          <a:solidFill>
            <a:schemeClr val="bg1"/>
          </a:solidFill>
        </a:ln>
        <a:effectLst>
          <a:outerShdw blurRad="190500" dist="25400" sx="105000" sy="105000" algn="ctr"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200" kern="1200">
            <a:solidFill>
              <a:srgbClr val="747FA4"/>
            </a:solidFill>
            <a:ea typeface="+mn-ea"/>
            <a:cs typeface="+mn-cs"/>
          </a:endParaRPr>
        </a:p>
      </xdr:txBody>
    </xdr:sp>
    <xdr:clientData/>
  </xdr:twoCellAnchor>
  <xdr:twoCellAnchor>
    <xdr:from>
      <xdr:col>17</xdr:col>
      <xdr:colOff>69044</xdr:colOff>
      <xdr:row>23</xdr:row>
      <xdr:rowOff>79499</xdr:rowOff>
    </xdr:from>
    <xdr:to>
      <xdr:col>18</xdr:col>
      <xdr:colOff>346614</xdr:colOff>
      <xdr:row>26</xdr:row>
      <xdr:rowOff>64873</xdr:rowOff>
    </xdr:to>
    <xdr:sp macro="" textlink="Processing!B63">
      <xdr:nvSpPr>
        <xdr:cNvPr id="3103" name="TextBox 20">
          <a:extLst>
            <a:ext uri="{FF2B5EF4-FFF2-40B4-BE49-F238E27FC236}">
              <a16:creationId xmlns:a16="http://schemas.microsoft.com/office/drawing/2014/main" id="{00000000-0008-0000-0100-00001F0C0000}"/>
            </a:ext>
          </a:extLst>
        </xdr:cNvPr>
        <xdr:cNvSpPr txBox="1"/>
      </xdr:nvSpPr>
      <xdr:spPr>
        <a:xfrm>
          <a:off x="10478508" y="4304517"/>
          <a:ext cx="889892" cy="536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ECD8CF9-9CD6-4582-9584-FE80D87620F5}" type="TxLink">
            <a:rPr lang="en-US" sz="2800" b="1" i="0" u="none" strike="noStrike">
              <a:solidFill>
                <a:schemeClr val="tx1"/>
              </a:solidFill>
              <a:latin typeface="Aptos Narrow"/>
              <a:ea typeface="+mn-ea"/>
              <a:cs typeface="+mn-cs"/>
            </a:rPr>
            <a:pPr marL="0" indent="0" algn="ctr" defTabSz="914400" rtl="0" eaLnBrk="1" latinLnBrk="0" hangingPunct="1"/>
            <a:t>103</a:t>
          </a:fld>
          <a:endParaRPr lang="ru-RU" sz="2800" b="1" i="0" u="none" strike="noStrike">
            <a:solidFill>
              <a:schemeClr val="tx1"/>
            </a:solidFill>
            <a:latin typeface="Aptos Narrow"/>
            <a:ea typeface="+mn-ea"/>
            <a:cs typeface="+mn-cs"/>
          </a:endParaRPr>
        </a:p>
      </xdr:txBody>
    </xdr:sp>
    <xdr:clientData/>
  </xdr:twoCellAnchor>
  <xdr:twoCellAnchor>
    <xdr:from>
      <xdr:col>16</xdr:col>
      <xdr:colOff>5091</xdr:colOff>
      <xdr:row>30</xdr:row>
      <xdr:rowOff>49837</xdr:rowOff>
    </xdr:from>
    <xdr:to>
      <xdr:col>17</xdr:col>
      <xdr:colOff>352106</xdr:colOff>
      <xdr:row>35</xdr:row>
      <xdr:rowOff>22814</xdr:rowOff>
    </xdr:to>
    <xdr:grpSp>
      <xdr:nvGrpSpPr>
        <xdr:cNvPr id="3126" name="Group 3125">
          <a:extLst>
            <a:ext uri="{FF2B5EF4-FFF2-40B4-BE49-F238E27FC236}">
              <a16:creationId xmlns:a16="http://schemas.microsoft.com/office/drawing/2014/main" id="{00000000-0008-0000-0100-0000360C0000}"/>
            </a:ext>
          </a:extLst>
        </xdr:cNvPr>
        <xdr:cNvGrpSpPr/>
      </xdr:nvGrpSpPr>
      <xdr:grpSpPr>
        <a:xfrm>
          <a:off x="9802234" y="5560730"/>
          <a:ext cx="959336" cy="891459"/>
          <a:chOff x="9706544" y="5502681"/>
          <a:chExt cx="951096" cy="881784"/>
        </a:xfrm>
      </xdr:grpSpPr>
      <xdr:sp macro="" textlink="Processing!A59">
        <xdr:nvSpPr>
          <xdr:cNvPr id="3106" name="TextBox 3105">
            <a:extLst>
              <a:ext uri="{FF2B5EF4-FFF2-40B4-BE49-F238E27FC236}">
                <a16:creationId xmlns:a16="http://schemas.microsoft.com/office/drawing/2014/main" id="{00000000-0008-0000-0100-0000220C0000}"/>
              </a:ext>
            </a:extLst>
          </xdr:cNvPr>
          <xdr:cNvSpPr txBox="1"/>
        </xdr:nvSpPr>
        <xdr:spPr>
          <a:xfrm>
            <a:off x="9746036" y="5502681"/>
            <a:ext cx="911604" cy="214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26008EC-D7D6-48DD-A76E-495AE30E013B}" type="TxLink">
              <a:rPr lang="en-US" sz="1000" b="0" i="0" u="none" strike="noStrike">
                <a:solidFill>
                  <a:srgbClr val="747FA4"/>
                </a:solidFill>
                <a:latin typeface="Aptos Narrow"/>
                <a:ea typeface="+mn-ea"/>
                <a:cs typeface="+mn-cs"/>
              </a:rPr>
              <a:pPr marL="0" indent="0" algn="l"/>
              <a:t>Air</a:t>
            </a:fld>
            <a:endParaRPr lang="ru-RU" sz="1000" b="0" i="0" u="none" strike="noStrike">
              <a:solidFill>
                <a:srgbClr val="747FA4"/>
              </a:solidFill>
              <a:latin typeface="Aptos Narrow"/>
              <a:ea typeface="+mn-ea"/>
              <a:cs typeface="+mn-cs"/>
            </a:endParaRPr>
          </a:p>
        </xdr:txBody>
      </xdr:sp>
      <xdr:sp macro="" textlink="Processing!A60">
        <xdr:nvSpPr>
          <xdr:cNvPr id="3107" name="TextBox 3106">
            <a:extLst>
              <a:ext uri="{FF2B5EF4-FFF2-40B4-BE49-F238E27FC236}">
                <a16:creationId xmlns:a16="http://schemas.microsoft.com/office/drawing/2014/main" id="{00000000-0008-0000-0100-0000230C0000}"/>
              </a:ext>
            </a:extLst>
          </xdr:cNvPr>
          <xdr:cNvSpPr txBox="1"/>
        </xdr:nvSpPr>
        <xdr:spPr>
          <a:xfrm>
            <a:off x="9746036" y="5724561"/>
            <a:ext cx="911604" cy="214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D907881-E34B-4394-9802-55FFC1695AD3}" type="TxLink">
              <a:rPr lang="en-US" sz="1000" b="0" i="0" u="none" strike="noStrike">
                <a:solidFill>
                  <a:srgbClr val="747FA4"/>
                </a:solidFill>
                <a:latin typeface="Aptos Narrow"/>
                <a:ea typeface="+mn-ea"/>
                <a:cs typeface="+mn-cs"/>
              </a:rPr>
              <a:pPr marL="0" indent="0" algn="l"/>
              <a:t>Rail</a:t>
            </a:fld>
            <a:endParaRPr lang="ru-RU" sz="1000" b="0" i="0" u="none" strike="noStrike">
              <a:solidFill>
                <a:srgbClr val="747FA4"/>
              </a:solidFill>
              <a:latin typeface="Aptos Narrow"/>
              <a:ea typeface="+mn-ea"/>
              <a:cs typeface="+mn-cs"/>
            </a:endParaRPr>
          </a:p>
        </xdr:txBody>
      </xdr:sp>
      <xdr:sp macro="" textlink="Processing!A61">
        <xdr:nvSpPr>
          <xdr:cNvPr id="3108" name="TextBox 3107">
            <a:extLst>
              <a:ext uri="{FF2B5EF4-FFF2-40B4-BE49-F238E27FC236}">
                <a16:creationId xmlns:a16="http://schemas.microsoft.com/office/drawing/2014/main" id="{00000000-0008-0000-0100-0000240C0000}"/>
              </a:ext>
            </a:extLst>
          </xdr:cNvPr>
          <xdr:cNvSpPr txBox="1"/>
        </xdr:nvSpPr>
        <xdr:spPr>
          <a:xfrm>
            <a:off x="9746036" y="5946440"/>
            <a:ext cx="911604" cy="214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633E608-06C9-462D-B5FB-649842A43D42}" type="TxLink">
              <a:rPr lang="en-US" sz="1000" b="0" i="0" u="none" strike="noStrike">
                <a:solidFill>
                  <a:srgbClr val="747FA4"/>
                </a:solidFill>
                <a:latin typeface="Aptos Narrow"/>
                <a:ea typeface="+mn-ea"/>
                <a:cs typeface="+mn-cs"/>
              </a:rPr>
              <a:pPr marL="0" indent="0" algn="l"/>
              <a:t>Road</a:t>
            </a:fld>
            <a:endParaRPr lang="ru-RU" sz="1000" b="0" i="0" u="none" strike="noStrike">
              <a:solidFill>
                <a:srgbClr val="747FA4"/>
              </a:solidFill>
              <a:latin typeface="Aptos Narrow"/>
              <a:ea typeface="+mn-ea"/>
              <a:cs typeface="+mn-cs"/>
            </a:endParaRPr>
          </a:p>
        </xdr:txBody>
      </xdr:sp>
      <xdr:sp macro="" textlink="Processing!A62">
        <xdr:nvSpPr>
          <xdr:cNvPr id="3109" name="TextBox 3108">
            <a:extLst>
              <a:ext uri="{FF2B5EF4-FFF2-40B4-BE49-F238E27FC236}">
                <a16:creationId xmlns:a16="http://schemas.microsoft.com/office/drawing/2014/main" id="{00000000-0008-0000-0100-0000250C0000}"/>
              </a:ext>
            </a:extLst>
          </xdr:cNvPr>
          <xdr:cNvSpPr txBox="1"/>
        </xdr:nvSpPr>
        <xdr:spPr>
          <a:xfrm>
            <a:off x="9746036" y="6168319"/>
            <a:ext cx="911604" cy="216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684F37C-C0B5-4BCA-925A-294CBD04431B}" type="TxLink">
              <a:rPr lang="en-US" sz="1000" b="0" i="0" u="none" strike="noStrike">
                <a:solidFill>
                  <a:srgbClr val="747FA4"/>
                </a:solidFill>
                <a:latin typeface="Aptos Narrow"/>
                <a:ea typeface="+mn-ea"/>
                <a:cs typeface="+mn-cs"/>
              </a:rPr>
              <a:pPr marL="0" indent="0" algn="l"/>
              <a:t>Sea</a:t>
            </a:fld>
            <a:endParaRPr lang="ru-RU" sz="1000" b="0" i="0" u="none" strike="noStrike">
              <a:solidFill>
                <a:srgbClr val="747FA4"/>
              </a:solidFill>
              <a:latin typeface="Aptos Narrow"/>
              <a:ea typeface="+mn-ea"/>
              <a:cs typeface="+mn-cs"/>
            </a:endParaRPr>
          </a:p>
        </xdr:txBody>
      </xdr:sp>
      <xdr:sp macro="" textlink="">
        <xdr:nvSpPr>
          <xdr:cNvPr id="3110" name="Oval 3109">
            <a:extLst>
              <a:ext uri="{FF2B5EF4-FFF2-40B4-BE49-F238E27FC236}">
                <a16:creationId xmlns:a16="http://schemas.microsoft.com/office/drawing/2014/main" id="{00000000-0008-0000-0100-0000260C0000}"/>
              </a:ext>
            </a:extLst>
          </xdr:cNvPr>
          <xdr:cNvSpPr/>
        </xdr:nvSpPr>
        <xdr:spPr>
          <a:xfrm>
            <a:off x="9706544" y="5551483"/>
            <a:ext cx="117474" cy="119205"/>
          </a:xfrm>
          <a:prstGeom prst="ellipse">
            <a:avLst/>
          </a:prstGeom>
          <a:solidFill>
            <a:srgbClr val="3B43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111" name="Oval 3110">
            <a:extLst>
              <a:ext uri="{FF2B5EF4-FFF2-40B4-BE49-F238E27FC236}">
                <a16:creationId xmlns:a16="http://schemas.microsoft.com/office/drawing/2014/main" id="{00000000-0008-0000-0100-0000270C0000}"/>
              </a:ext>
            </a:extLst>
          </xdr:cNvPr>
          <xdr:cNvSpPr/>
        </xdr:nvSpPr>
        <xdr:spPr>
          <a:xfrm>
            <a:off x="9706544" y="5773400"/>
            <a:ext cx="117474" cy="119204"/>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112" name="Oval 3111">
            <a:extLst>
              <a:ext uri="{FF2B5EF4-FFF2-40B4-BE49-F238E27FC236}">
                <a16:creationId xmlns:a16="http://schemas.microsoft.com/office/drawing/2014/main" id="{00000000-0008-0000-0100-0000280C0000}"/>
              </a:ext>
            </a:extLst>
          </xdr:cNvPr>
          <xdr:cNvSpPr/>
        </xdr:nvSpPr>
        <xdr:spPr>
          <a:xfrm>
            <a:off x="9706544" y="5995316"/>
            <a:ext cx="117474" cy="119206"/>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113" name="Oval 3112">
            <a:extLst>
              <a:ext uri="{FF2B5EF4-FFF2-40B4-BE49-F238E27FC236}">
                <a16:creationId xmlns:a16="http://schemas.microsoft.com/office/drawing/2014/main" id="{00000000-0008-0000-0100-0000290C0000}"/>
              </a:ext>
            </a:extLst>
          </xdr:cNvPr>
          <xdr:cNvSpPr/>
        </xdr:nvSpPr>
        <xdr:spPr>
          <a:xfrm>
            <a:off x="9706544" y="6216116"/>
            <a:ext cx="117474" cy="118872"/>
          </a:xfrm>
          <a:prstGeom prst="ellipse">
            <a:avLst/>
          </a:prstGeom>
          <a:solidFill>
            <a:srgbClr val="29A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18</xdr:col>
      <xdr:colOff>437307</xdr:colOff>
      <xdr:row>30</xdr:row>
      <xdr:rowOff>70810</xdr:rowOff>
    </xdr:from>
    <xdr:to>
      <xdr:col>19</xdr:col>
      <xdr:colOff>384848</xdr:colOff>
      <xdr:row>35</xdr:row>
      <xdr:rowOff>43787</xdr:rowOff>
    </xdr:to>
    <xdr:grpSp>
      <xdr:nvGrpSpPr>
        <xdr:cNvPr id="3124" name="Group 3123">
          <a:extLst>
            <a:ext uri="{FF2B5EF4-FFF2-40B4-BE49-F238E27FC236}">
              <a16:creationId xmlns:a16="http://schemas.microsoft.com/office/drawing/2014/main" id="{00000000-0008-0000-0100-0000340C0000}"/>
            </a:ext>
          </a:extLst>
        </xdr:cNvPr>
        <xdr:cNvGrpSpPr/>
      </xdr:nvGrpSpPr>
      <xdr:grpSpPr>
        <a:xfrm>
          <a:off x="11459093" y="5581703"/>
          <a:ext cx="559862" cy="891459"/>
          <a:chOff x="10281447" y="5523654"/>
          <a:chExt cx="555743" cy="881784"/>
        </a:xfrm>
      </xdr:grpSpPr>
      <xdr:sp macro="" textlink="Processing!B59">
        <xdr:nvSpPr>
          <xdr:cNvPr id="3115" name="TextBox 3114">
            <a:extLst>
              <a:ext uri="{FF2B5EF4-FFF2-40B4-BE49-F238E27FC236}">
                <a16:creationId xmlns:a16="http://schemas.microsoft.com/office/drawing/2014/main" id="{00000000-0008-0000-0100-00002B0C0000}"/>
              </a:ext>
            </a:extLst>
          </xdr:cNvPr>
          <xdr:cNvSpPr txBox="1"/>
        </xdr:nvSpPr>
        <xdr:spPr>
          <a:xfrm>
            <a:off x="10281447" y="5523654"/>
            <a:ext cx="555743" cy="214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758AA94-2F36-42C2-A1F6-42632D0F4FB4}" type="TxLink">
              <a:rPr lang="en-US" sz="1100" b="0" i="0" u="none" strike="noStrike">
                <a:solidFill>
                  <a:srgbClr val="003264"/>
                </a:solidFill>
                <a:latin typeface="Aptos Narrow"/>
                <a:ea typeface="+mn-ea"/>
                <a:cs typeface="+mn-cs"/>
              </a:rPr>
              <a:pPr marL="0" indent="0" algn="ctr"/>
              <a:t>39</a:t>
            </a:fld>
            <a:endParaRPr lang="ru-RU" sz="1100" b="0" i="0" u="none" strike="noStrike">
              <a:solidFill>
                <a:srgbClr val="003264"/>
              </a:solidFill>
              <a:latin typeface="Aptos Narrow"/>
              <a:ea typeface="+mn-ea"/>
              <a:cs typeface="+mn-cs"/>
            </a:endParaRPr>
          </a:p>
        </xdr:txBody>
      </xdr:sp>
      <xdr:sp macro="" textlink="Processing!B60">
        <xdr:nvSpPr>
          <xdr:cNvPr id="3116" name="TextBox 3115">
            <a:extLst>
              <a:ext uri="{FF2B5EF4-FFF2-40B4-BE49-F238E27FC236}">
                <a16:creationId xmlns:a16="http://schemas.microsoft.com/office/drawing/2014/main" id="{00000000-0008-0000-0100-00002C0C0000}"/>
              </a:ext>
            </a:extLst>
          </xdr:cNvPr>
          <xdr:cNvSpPr txBox="1"/>
        </xdr:nvSpPr>
        <xdr:spPr>
          <a:xfrm>
            <a:off x="10281447" y="5746018"/>
            <a:ext cx="555743" cy="214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DC13A8-A178-4B8A-A830-DF18E94B90CB}" type="TxLink">
              <a:rPr lang="en-US" sz="1100" b="0" i="0" u="none" strike="noStrike">
                <a:solidFill>
                  <a:srgbClr val="003264"/>
                </a:solidFill>
                <a:latin typeface="Aptos Narrow"/>
                <a:ea typeface="+mn-ea"/>
                <a:cs typeface="+mn-cs"/>
              </a:rPr>
              <a:pPr marL="0" indent="0" algn="ctr"/>
              <a:t>21</a:t>
            </a:fld>
            <a:endParaRPr lang="ru-RU" sz="1100" b="0" i="0" u="none" strike="noStrike">
              <a:solidFill>
                <a:srgbClr val="003264"/>
              </a:solidFill>
              <a:latin typeface="Aptos Narrow"/>
              <a:ea typeface="+mn-ea"/>
              <a:cs typeface="+mn-cs"/>
            </a:endParaRPr>
          </a:p>
        </xdr:txBody>
      </xdr:sp>
      <xdr:sp macro="" textlink="Processing!B61">
        <xdr:nvSpPr>
          <xdr:cNvPr id="3117" name="TextBox 3116">
            <a:extLst>
              <a:ext uri="{FF2B5EF4-FFF2-40B4-BE49-F238E27FC236}">
                <a16:creationId xmlns:a16="http://schemas.microsoft.com/office/drawing/2014/main" id="{00000000-0008-0000-0100-00002D0C0000}"/>
              </a:ext>
            </a:extLst>
          </xdr:cNvPr>
          <xdr:cNvSpPr txBox="1"/>
        </xdr:nvSpPr>
        <xdr:spPr>
          <a:xfrm>
            <a:off x="10281447" y="5968381"/>
            <a:ext cx="555743" cy="214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D28EA69-B9C7-418D-95D6-6F201BD3203F}" type="TxLink">
              <a:rPr lang="en-US" sz="1100" b="0" i="0" u="none" strike="noStrike">
                <a:solidFill>
                  <a:srgbClr val="003264"/>
                </a:solidFill>
                <a:latin typeface="Aptos Narrow"/>
                <a:ea typeface="+mn-ea"/>
                <a:cs typeface="+mn-cs"/>
              </a:rPr>
              <a:pPr marL="0" indent="0" algn="ctr"/>
              <a:t>7</a:t>
            </a:fld>
            <a:endParaRPr lang="ru-RU" sz="1100" b="0" i="0" u="none" strike="noStrike">
              <a:solidFill>
                <a:srgbClr val="003264"/>
              </a:solidFill>
              <a:latin typeface="Aptos Narrow"/>
              <a:ea typeface="+mn-ea"/>
              <a:cs typeface="+mn-cs"/>
            </a:endParaRPr>
          </a:p>
        </xdr:txBody>
      </xdr:sp>
      <xdr:sp macro="" textlink="Processing!B62">
        <xdr:nvSpPr>
          <xdr:cNvPr id="3118" name="TextBox 3117">
            <a:extLst>
              <a:ext uri="{FF2B5EF4-FFF2-40B4-BE49-F238E27FC236}">
                <a16:creationId xmlns:a16="http://schemas.microsoft.com/office/drawing/2014/main" id="{00000000-0008-0000-0100-00002E0C0000}"/>
              </a:ext>
            </a:extLst>
          </xdr:cNvPr>
          <xdr:cNvSpPr txBox="1"/>
        </xdr:nvSpPr>
        <xdr:spPr>
          <a:xfrm>
            <a:off x="10281447" y="6190744"/>
            <a:ext cx="555743" cy="214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36E8EB-37F4-4233-BD1C-90BC3D90DC1E}" type="TxLink">
              <a:rPr lang="en-US" sz="1100" b="0" i="0" u="none" strike="noStrike">
                <a:solidFill>
                  <a:srgbClr val="003264"/>
                </a:solidFill>
                <a:latin typeface="Aptos Narrow"/>
                <a:ea typeface="+mn-ea"/>
                <a:cs typeface="+mn-cs"/>
              </a:rPr>
              <a:pPr marL="0" indent="0" algn="ctr"/>
              <a:t>36</a:t>
            </a:fld>
            <a:endParaRPr lang="ru-RU" sz="1100" b="0" i="0" u="none" strike="noStrike">
              <a:solidFill>
                <a:srgbClr val="003264"/>
              </a:solidFill>
              <a:latin typeface="Aptos Narrow"/>
              <a:ea typeface="+mn-ea"/>
              <a:cs typeface="+mn-cs"/>
            </a:endParaRPr>
          </a:p>
        </xdr:txBody>
      </xdr:sp>
    </xdr:grpSp>
    <xdr:clientData/>
  </xdr:twoCellAnchor>
  <xdr:twoCellAnchor>
    <xdr:from>
      <xdr:col>17</xdr:col>
      <xdr:colOff>242047</xdr:colOff>
      <xdr:row>30</xdr:row>
      <xdr:rowOff>70810</xdr:rowOff>
    </xdr:from>
    <xdr:to>
      <xdr:col>18</xdr:col>
      <xdr:colOff>189587</xdr:colOff>
      <xdr:row>35</xdr:row>
      <xdr:rowOff>43787</xdr:rowOff>
    </xdr:to>
    <xdr:grpSp>
      <xdr:nvGrpSpPr>
        <xdr:cNvPr id="3123" name="Group 3122">
          <a:extLst>
            <a:ext uri="{FF2B5EF4-FFF2-40B4-BE49-F238E27FC236}">
              <a16:creationId xmlns:a16="http://schemas.microsoft.com/office/drawing/2014/main" id="{00000000-0008-0000-0100-0000330C0000}"/>
            </a:ext>
          </a:extLst>
        </xdr:cNvPr>
        <xdr:cNvGrpSpPr/>
      </xdr:nvGrpSpPr>
      <xdr:grpSpPr>
        <a:xfrm>
          <a:off x="10651511" y="5581703"/>
          <a:ext cx="559862" cy="891459"/>
          <a:chOff x="11113356" y="5523654"/>
          <a:chExt cx="555743" cy="881784"/>
        </a:xfrm>
      </xdr:grpSpPr>
      <xdr:sp macro="" textlink="Processing!C59">
        <xdr:nvSpPr>
          <xdr:cNvPr id="3119" name="TextBox 3118">
            <a:extLst>
              <a:ext uri="{FF2B5EF4-FFF2-40B4-BE49-F238E27FC236}">
                <a16:creationId xmlns:a16="http://schemas.microsoft.com/office/drawing/2014/main" id="{00000000-0008-0000-0100-00002F0C0000}"/>
              </a:ext>
            </a:extLst>
          </xdr:cNvPr>
          <xdr:cNvSpPr txBox="1"/>
        </xdr:nvSpPr>
        <xdr:spPr>
          <a:xfrm>
            <a:off x="11113356" y="5523654"/>
            <a:ext cx="555743" cy="214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B9B815F-F21B-47B3-8B93-CA8B4A52BEEB}" type="TxLink">
              <a:rPr lang="en-US" sz="1100" b="0" i="0" u="none" strike="noStrike">
                <a:solidFill>
                  <a:srgbClr val="003264"/>
                </a:solidFill>
                <a:latin typeface="Aptos Narrow"/>
                <a:ea typeface="+mn-ea"/>
                <a:cs typeface="+mn-cs"/>
              </a:rPr>
              <a:pPr marL="0" indent="0" algn="ctr"/>
              <a:t>38%</a:t>
            </a:fld>
            <a:endParaRPr lang="ru-RU" sz="1100" b="0" i="0" u="none" strike="noStrike">
              <a:solidFill>
                <a:srgbClr val="003264"/>
              </a:solidFill>
              <a:latin typeface="Aptos Narrow"/>
              <a:ea typeface="+mn-ea"/>
              <a:cs typeface="+mn-cs"/>
            </a:endParaRPr>
          </a:p>
        </xdr:txBody>
      </xdr:sp>
      <xdr:sp macro="" textlink="Processing!C60">
        <xdr:nvSpPr>
          <xdr:cNvPr id="3120" name="TextBox 3119">
            <a:extLst>
              <a:ext uri="{FF2B5EF4-FFF2-40B4-BE49-F238E27FC236}">
                <a16:creationId xmlns:a16="http://schemas.microsoft.com/office/drawing/2014/main" id="{00000000-0008-0000-0100-0000300C0000}"/>
              </a:ext>
            </a:extLst>
          </xdr:cNvPr>
          <xdr:cNvSpPr txBox="1"/>
        </xdr:nvSpPr>
        <xdr:spPr>
          <a:xfrm>
            <a:off x="11113356" y="5746018"/>
            <a:ext cx="555743" cy="214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372D4A8-079E-4F77-85F8-99B94E76A337}" type="TxLink">
              <a:rPr lang="en-US" sz="1100" b="0" i="0" u="none" strike="noStrike">
                <a:solidFill>
                  <a:srgbClr val="003264"/>
                </a:solidFill>
                <a:latin typeface="Aptos Narrow"/>
                <a:ea typeface="+mn-ea"/>
                <a:cs typeface="+mn-cs"/>
              </a:rPr>
              <a:pPr marL="0" indent="0" algn="ctr"/>
              <a:t>20%</a:t>
            </a:fld>
            <a:endParaRPr lang="ru-RU" sz="1100" b="0" i="0" u="none" strike="noStrike">
              <a:solidFill>
                <a:srgbClr val="003264"/>
              </a:solidFill>
              <a:latin typeface="Aptos Narrow"/>
              <a:ea typeface="+mn-ea"/>
              <a:cs typeface="+mn-cs"/>
            </a:endParaRPr>
          </a:p>
        </xdr:txBody>
      </xdr:sp>
      <xdr:sp macro="" textlink="Processing!C61">
        <xdr:nvSpPr>
          <xdr:cNvPr id="3121" name="TextBox 3120">
            <a:extLst>
              <a:ext uri="{FF2B5EF4-FFF2-40B4-BE49-F238E27FC236}">
                <a16:creationId xmlns:a16="http://schemas.microsoft.com/office/drawing/2014/main" id="{00000000-0008-0000-0100-0000310C0000}"/>
              </a:ext>
            </a:extLst>
          </xdr:cNvPr>
          <xdr:cNvSpPr txBox="1"/>
        </xdr:nvSpPr>
        <xdr:spPr>
          <a:xfrm>
            <a:off x="11113356" y="5968381"/>
            <a:ext cx="555743" cy="214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AC90A80-12EE-4BE5-802F-27793F405B45}" type="TxLink">
              <a:rPr lang="en-US" sz="1100" b="0" i="0" u="none" strike="noStrike">
                <a:solidFill>
                  <a:srgbClr val="003264"/>
                </a:solidFill>
                <a:latin typeface="Aptos Narrow"/>
                <a:ea typeface="+mn-ea"/>
                <a:cs typeface="+mn-cs"/>
              </a:rPr>
              <a:pPr marL="0" indent="0" algn="ctr"/>
              <a:t>7%</a:t>
            </a:fld>
            <a:endParaRPr lang="ru-RU" sz="1100" b="0" i="0" u="none" strike="noStrike">
              <a:solidFill>
                <a:srgbClr val="003264"/>
              </a:solidFill>
              <a:latin typeface="Aptos Narrow"/>
              <a:ea typeface="+mn-ea"/>
              <a:cs typeface="+mn-cs"/>
            </a:endParaRPr>
          </a:p>
        </xdr:txBody>
      </xdr:sp>
      <xdr:sp macro="" textlink="Processing!C62">
        <xdr:nvSpPr>
          <xdr:cNvPr id="3122" name="TextBox 3121">
            <a:extLst>
              <a:ext uri="{FF2B5EF4-FFF2-40B4-BE49-F238E27FC236}">
                <a16:creationId xmlns:a16="http://schemas.microsoft.com/office/drawing/2014/main" id="{00000000-0008-0000-0100-0000320C0000}"/>
              </a:ext>
            </a:extLst>
          </xdr:cNvPr>
          <xdr:cNvSpPr txBox="1"/>
        </xdr:nvSpPr>
        <xdr:spPr>
          <a:xfrm>
            <a:off x="11113356" y="6190744"/>
            <a:ext cx="555743" cy="214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4C4904-BBAE-4A55-94AD-F0ABBB09D692}" type="TxLink">
              <a:rPr lang="en-US" sz="1100" b="0" i="0" u="none" strike="noStrike">
                <a:solidFill>
                  <a:srgbClr val="003264"/>
                </a:solidFill>
                <a:latin typeface="Aptos Narrow"/>
                <a:ea typeface="+mn-ea"/>
                <a:cs typeface="+mn-cs"/>
              </a:rPr>
              <a:pPr marL="0" indent="0" algn="ctr"/>
              <a:t>35%</a:t>
            </a:fld>
            <a:endParaRPr lang="ru-RU" sz="1100" b="0" i="0" u="none" strike="noStrike">
              <a:solidFill>
                <a:srgbClr val="003264"/>
              </a:solidFill>
              <a:latin typeface="Aptos Narrow"/>
              <a:ea typeface="+mn-ea"/>
              <a:cs typeface="+mn-cs"/>
            </a:endParaRPr>
          </a:p>
        </xdr:txBody>
      </xdr:sp>
    </xdr:grpSp>
    <xdr:clientData/>
  </xdr:twoCellAnchor>
  <xdr:twoCellAnchor>
    <xdr:from>
      <xdr:col>17</xdr:col>
      <xdr:colOff>331614</xdr:colOff>
      <xdr:row>18</xdr:row>
      <xdr:rowOff>114191</xdr:rowOff>
    </xdr:from>
    <xdr:to>
      <xdr:col>19</xdr:col>
      <xdr:colOff>533950</xdr:colOff>
      <xdr:row>21</xdr:row>
      <xdr:rowOff>97871</xdr:rowOff>
    </xdr:to>
    <xdr:sp macro="" textlink="Processing!A58">
      <xdr:nvSpPr>
        <xdr:cNvPr id="3125" name="TextBox 3124">
          <a:extLst>
            <a:ext uri="{FF2B5EF4-FFF2-40B4-BE49-F238E27FC236}">
              <a16:creationId xmlns:a16="http://schemas.microsoft.com/office/drawing/2014/main" id="{00000000-0008-0000-0100-0000350C0000}"/>
            </a:ext>
          </a:extLst>
        </xdr:cNvPr>
        <xdr:cNvSpPr txBox="1"/>
      </xdr:nvSpPr>
      <xdr:spPr>
        <a:xfrm>
          <a:off x="10741078" y="3420727"/>
          <a:ext cx="1426979" cy="534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2ECAEC0-DE0D-443A-ADBE-20B2868D0810}" type="TxLink">
            <a:rPr lang="en-US" sz="1400" b="0" i="0" u="none" strike="noStrike">
              <a:solidFill>
                <a:srgbClr val="0F4672"/>
              </a:solidFill>
              <a:latin typeface="Aptos Narrow"/>
              <a:ea typeface="+mn-ea"/>
              <a:cs typeface="+mn-cs"/>
            </a:rPr>
            <a:pPr marL="0" indent="0" algn="r"/>
            <a:t>Transport by Orders</a:t>
          </a:fld>
          <a:endParaRPr lang="ru-RU" sz="1400" b="0" i="0" u="none" strike="noStrike">
            <a:solidFill>
              <a:srgbClr val="0F4672"/>
            </a:solidFill>
            <a:latin typeface="Aptos Narrow"/>
            <a:ea typeface="+mn-ea"/>
            <a:cs typeface="+mn-cs"/>
          </a:endParaRPr>
        </a:p>
      </xdr:txBody>
    </xdr:sp>
    <xdr:clientData/>
  </xdr:twoCellAnchor>
  <xdr:twoCellAnchor>
    <xdr:from>
      <xdr:col>10</xdr:col>
      <xdr:colOff>113668</xdr:colOff>
      <xdr:row>25</xdr:row>
      <xdr:rowOff>171508</xdr:rowOff>
    </xdr:from>
    <xdr:to>
      <xdr:col>13</xdr:col>
      <xdr:colOff>26422</xdr:colOff>
      <xdr:row>35</xdr:row>
      <xdr:rowOff>91254</xdr:rowOff>
    </xdr:to>
    <xdr:grpSp>
      <xdr:nvGrpSpPr>
        <xdr:cNvPr id="3127" name="Group 3126">
          <a:extLst>
            <a:ext uri="{FF2B5EF4-FFF2-40B4-BE49-F238E27FC236}">
              <a16:creationId xmlns:a16="http://schemas.microsoft.com/office/drawing/2014/main" id="{00000000-0008-0000-0100-0000370C0000}"/>
            </a:ext>
          </a:extLst>
        </xdr:cNvPr>
        <xdr:cNvGrpSpPr/>
      </xdr:nvGrpSpPr>
      <xdr:grpSpPr>
        <a:xfrm>
          <a:off x="6236882" y="4763919"/>
          <a:ext cx="1749719" cy="1756710"/>
          <a:chOff x="2720359" y="13161940"/>
          <a:chExt cx="1737360" cy="1737360"/>
        </a:xfrm>
      </xdr:grpSpPr>
      <xdr:graphicFrame macro="">
        <xdr:nvGraphicFramePr>
          <xdr:cNvPr id="3128" name="Chart 3127">
            <a:extLst>
              <a:ext uri="{FF2B5EF4-FFF2-40B4-BE49-F238E27FC236}">
                <a16:creationId xmlns:a16="http://schemas.microsoft.com/office/drawing/2014/main" id="{00000000-0008-0000-0100-0000380C0000}"/>
              </a:ext>
            </a:extLst>
          </xdr:cNvPr>
          <xdr:cNvGraphicFramePr/>
        </xdr:nvGraphicFramePr>
        <xdr:xfrm>
          <a:off x="2720359" y="13161940"/>
          <a:ext cx="1737360" cy="173736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129" name="Oval 3128">
            <a:extLst>
              <a:ext uri="{FF2B5EF4-FFF2-40B4-BE49-F238E27FC236}">
                <a16:creationId xmlns:a16="http://schemas.microsoft.com/office/drawing/2014/main" id="{00000000-0008-0000-0100-0000390C0000}"/>
              </a:ext>
            </a:extLst>
          </xdr:cNvPr>
          <xdr:cNvSpPr/>
        </xdr:nvSpPr>
        <xdr:spPr>
          <a:xfrm>
            <a:off x="2885408" y="13326989"/>
            <a:ext cx="1407262" cy="1407262"/>
          </a:xfrm>
          <a:prstGeom prst="ellipse">
            <a:avLst/>
          </a:prstGeom>
          <a:noFill/>
          <a:ln w="12700">
            <a:gradFill>
              <a:gsLst>
                <a:gs pos="56600">
                  <a:schemeClr val="bg1">
                    <a:alpha val="0"/>
                  </a:schemeClr>
                </a:gs>
                <a:gs pos="100000">
                  <a:schemeClr val="bg1"/>
                </a:gs>
                <a:gs pos="0">
                  <a:schemeClr val="accent1">
                    <a:lumMod val="5000"/>
                    <a:lumOff val="95000"/>
                  </a:schemeClr>
                </a:gs>
              </a:gsLst>
              <a:lin ang="0" scaled="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12</xdr:col>
      <xdr:colOff>362465</xdr:colOff>
      <xdr:row>26</xdr:row>
      <xdr:rowOff>10720</xdr:rowOff>
    </xdr:from>
    <xdr:to>
      <xdr:col>15</xdr:col>
      <xdr:colOff>281447</xdr:colOff>
      <xdr:row>35</xdr:row>
      <xdr:rowOff>41946</xdr:rowOff>
    </xdr:to>
    <xdr:graphicFrame macro="">
      <xdr:nvGraphicFramePr>
        <xdr:cNvPr id="3130" name="Chart 3129">
          <a:extLst>
            <a:ext uri="{FF2B5EF4-FFF2-40B4-BE49-F238E27FC236}">
              <a16:creationId xmlns:a16="http://schemas.microsoft.com/office/drawing/2014/main" id="{00000000-0008-0000-0100-00003A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510490</xdr:colOff>
      <xdr:row>28</xdr:row>
      <xdr:rowOff>18926</xdr:rowOff>
    </xdr:from>
    <xdr:to>
      <xdr:col>12</xdr:col>
      <xdr:colOff>241924</xdr:colOff>
      <xdr:row>33</xdr:row>
      <xdr:rowOff>62076</xdr:rowOff>
    </xdr:to>
    <xdr:sp macro="" textlink="">
      <xdr:nvSpPr>
        <xdr:cNvPr id="3131" name="Oval 3130">
          <a:extLst>
            <a:ext uri="{FF2B5EF4-FFF2-40B4-BE49-F238E27FC236}">
              <a16:creationId xmlns:a16="http://schemas.microsoft.com/office/drawing/2014/main" id="{00000000-0008-0000-0100-00003B0C0000}"/>
            </a:ext>
          </a:extLst>
        </xdr:cNvPr>
        <xdr:cNvSpPr/>
      </xdr:nvSpPr>
      <xdr:spPr>
        <a:xfrm>
          <a:off x="6633704" y="5162426"/>
          <a:ext cx="956077" cy="961632"/>
        </a:xfrm>
        <a:prstGeom prst="ellipse">
          <a:avLst/>
        </a:prstGeom>
        <a:solidFill>
          <a:srgbClr val="F4F5FC"/>
        </a:solidFill>
        <a:ln>
          <a:solidFill>
            <a:schemeClr val="bg1"/>
          </a:solidFill>
        </a:ln>
        <a:effectLst>
          <a:outerShdw blurRad="190500" dist="25400" sx="105000" sy="105000" algn="ctr"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200" kern="1200">
            <a:solidFill>
              <a:srgbClr val="747FA4"/>
            </a:solidFill>
            <a:ea typeface="+mn-ea"/>
            <a:cs typeface="+mn-cs"/>
          </a:endParaRPr>
        </a:p>
      </xdr:txBody>
    </xdr:sp>
    <xdr:clientData/>
  </xdr:twoCellAnchor>
  <xdr:twoCellAnchor>
    <xdr:from>
      <xdr:col>11</xdr:col>
      <xdr:colOff>130058</xdr:colOff>
      <xdr:row>29</xdr:row>
      <xdr:rowOff>74797</xdr:rowOff>
    </xdr:from>
    <xdr:to>
      <xdr:col>12</xdr:col>
      <xdr:colOff>253377</xdr:colOff>
      <xdr:row>30</xdr:row>
      <xdr:rowOff>107731</xdr:rowOff>
    </xdr:to>
    <xdr:sp macro="" textlink="Processing!D68">
      <xdr:nvSpPr>
        <xdr:cNvPr id="3134" name="TextBox 3133">
          <a:extLst>
            <a:ext uri="{FF2B5EF4-FFF2-40B4-BE49-F238E27FC236}">
              <a16:creationId xmlns:a16="http://schemas.microsoft.com/office/drawing/2014/main" id="{00000000-0008-0000-0100-00003E0C0000}"/>
            </a:ext>
          </a:extLst>
        </xdr:cNvPr>
        <xdr:cNvSpPr txBox="1"/>
      </xdr:nvSpPr>
      <xdr:spPr>
        <a:xfrm>
          <a:off x="6865594" y="5401993"/>
          <a:ext cx="735640" cy="216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EAF19FB-5F9F-4E69-96AF-CBA50AB5A352}" type="TxLink">
            <a:rPr lang="en-US" sz="1100" b="1" i="0" u="none" strike="noStrike">
              <a:solidFill>
                <a:srgbClr val="003264"/>
              </a:solidFill>
              <a:latin typeface="Aptos Narrow"/>
              <a:ea typeface="+mn-ea"/>
              <a:cs typeface="+mn-cs"/>
            </a:rPr>
            <a:pPr marL="0" indent="0" algn="l"/>
            <a:t> 3,456 </a:t>
          </a:fld>
          <a:endParaRPr lang="ru-RU" sz="1100" b="1" i="0" u="none" strike="noStrike">
            <a:solidFill>
              <a:srgbClr val="003264"/>
            </a:solidFill>
            <a:latin typeface="Aptos Narrow"/>
            <a:ea typeface="+mn-ea"/>
            <a:cs typeface="+mn-cs"/>
          </a:endParaRPr>
        </a:p>
      </xdr:txBody>
    </xdr:sp>
    <xdr:clientData/>
  </xdr:twoCellAnchor>
  <xdr:twoCellAnchor>
    <xdr:from>
      <xdr:col>11</xdr:col>
      <xdr:colOff>130058</xdr:colOff>
      <xdr:row>30</xdr:row>
      <xdr:rowOff>114916</xdr:rowOff>
    </xdr:from>
    <xdr:to>
      <xdr:col>12</xdr:col>
      <xdr:colOff>253377</xdr:colOff>
      <xdr:row>31</xdr:row>
      <xdr:rowOff>147848</xdr:rowOff>
    </xdr:to>
    <xdr:sp macro="" textlink="Processing!D69">
      <xdr:nvSpPr>
        <xdr:cNvPr id="3135" name="TextBox 3134">
          <a:extLst>
            <a:ext uri="{FF2B5EF4-FFF2-40B4-BE49-F238E27FC236}">
              <a16:creationId xmlns:a16="http://schemas.microsoft.com/office/drawing/2014/main" id="{00000000-0008-0000-0100-00003F0C0000}"/>
            </a:ext>
          </a:extLst>
        </xdr:cNvPr>
        <xdr:cNvSpPr txBox="1"/>
      </xdr:nvSpPr>
      <xdr:spPr>
        <a:xfrm>
          <a:off x="6865594" y="5625809"/>
          <a:ext cx="735640" cy="216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19AB81-0342-4A4A-A525-106D7E1C5C6B}" type="TxLink">
            <a:rPr lang="en-US" sz="1100" b="1" i="0" u="none" strike="noStrike">
              <a:solidFill>
                <a:srgbClr val="003264"/>
              </a:solidFill>
              <a:latin typeface="Aptos Narrow"/>
              <a:ea typeface="+mn-ea"/>
              <a:cs typeface="+mn-cs"/>
            </a:rPr>
            <a:pPr marL="0" indent="0" algn="l"/>
            <a:t> 4,143 </a:t>
          </a:fld>
          <a:endParaRPr lang="ru-RU" sz="1100" b="1" i="0" u="none" strike="noStrike">
            <a:solidFill>
              <a:srgbClr val="003264"/>
            </a:solidFill>
            <a:latin typeface="Aptos Narrow"/>
            <a:ea typeface="+mn-ea"/>
            <a:cs typeface="+mn-cs"/>
          </a:endParaRPr>
        </a:p>
      </xdr:txBody>
    </xdr:sp>
    <xdr:clientData/>
  </xdr:twoCellAnchor>
  <xdr:twoCellAnchor>
    <xdr:from>
      <xdr:col>11</xdr:col>
      <xdr:colOff>130058</xdr:colOff>
      <xdr:row>31</xdr:row>
      <xdr:rowOff>155033</xdr:rowOff>
    </xdr:from>
    <xdr:to>
      <xdr:col>12</xdr:col>
      <xdr:colOff>253377</xdr:colOff>
      <xdr:row>33</xdr:row>
      <xdr:rowOff>6205</xdr:rowOff>
    </xdr:to>
    <xdr:sp macro="" textlink="Processing!D70">
      <xdr:nvSpPr>
        <xdr:cNvPr id="3136" name="TextBox 3135">
          <a:extLst>
            <a:ext uri="{FF2B5EF4-FFF2-40B4-BE49-F238E27FC236}">
              <a16:creationId xmlns:a16="http://schemas.microsoft.com/office/drawing/2014/main" id="{00000000-0008-0000-0100-0000400C0000}"/>
            </a:ext>
          </a:extLst>
        </xdr:cNvPr>
        <xdr:cNvSpPr txBox="1"/>
      </xdr:nvSpPr>
      <xdr:spPr>
        <a:xfrm>
          <a:off x="6865594" y="5849622"/>
          <a:ext cx="735640" cy="218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C39F52F-30E6-4B85-B28E-B1305D9552CD}" type="TxLink">
            <a:rPr lang="en-US" sz="1100" b="1" i="0" u="none" strike="noStrike">
              <a:solidFill>
                <a:srgbClr val="003264"/>
              </a:solidFill>
              <a:latin typeface="Aptos Narrow"/>
              <a:ea typeface="+mn-ea"/>
              <a:cs typeface="+mn-cs"/>
            </a:rPr>
            <a:pPr marL="0" indent="0" algn="l"/>
            <a:t> 1,684 </a:t>
          </a:fld>
          <a:endParaRPr lang="ru-RU" sz="1100" b="1" i="0" u="none" strike="noStrike">
            <a:solidFill>
              <a:srgbClr val="003264"/>
            </a:solidFill>
            <a:latin typeface="Aptos Narrow"/>
            <a:ea typeface="+mn-ea"/>
            <a:cs typeface="+mn-cs"/>
          </a:endParaRPr>
        </a:p>
      </xdr:txBody>
    </xdr:sp>
    <xdr:clientData/>
  </xdr:twoCellAnchor>
  <xdr:twoCellAnchor>
    <xdr:from>
      <xdr:col>11</xdr:col>
      <xdr:colOff>69594</xdr:colOff>
      <xdr:row>29</xdr:row>
      <xdr:rowOff>123599</xdr:rowOff>
    </xdr:from>
    <xdr:to>
      <xdr:col>11</xdr:col>
      <xdr:colOff>187068</xdr:colOff>
      <xdr:row>30</xdr:row>
      <xdr:rowOff>61043</xdr:rowOff>
    </xdr:to>
    <xdr:sp macro="" textlink="">
      <xdr:nvSpPr>
        <xdr:cNvPr id="3138" name="Oval 3137">
          <a:extLst>
            <a:ext uri="{FF2B5EF4-FFF2-40B4-BE49-F238E27FC236}">
              <a16:creationId xmlns:a16="http://schemas.microsoft.com/office/drawing/2014/main" id="{00000000-0008-0000-0100-0000420C0000}"/>
            </a:ext>
          </a:extLst>
        </xdr:cNvPr>
        <xdr:cNvSpPr/>
      </xdr:nvSpPr>
      <xdr:spPr>
        <a:xfrm>
          <a:off x="6805130" y="5450795"/>
          <a:ext cx="117474" cy="121141"/>
        </a:xfrm>
        <a:prstGeom prst="ellipse">
          <a:avLst/>
        </a:prstGeom>
        <a:gradFill>
          <a:gsLst>
            <a:gs pos="0">
              <a:srgbClr val="E053FB"/>
            </a:gs>
            <a:gs pos="100000">
              <a:srgbClr val="7C74F5"/>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69594</xdr:colOff>
      <xdr:row>30</xdr:row>
      <xdr:rowOff>163755</xdr:rowOff>
    </xdr:from>
    <xdr:to>
      <xdr:col>11</xdr:col>
      <xdr:colOff>187068</xdr:colOff>
      <xdr:row>31</xdr:row>
      <xdr:rowOff>101197</xdr:rowOff>
    </xdr:to>
    <xdr:sp macro="" textlink="">
      <xdr:nvSpPr>
        <xdr:cNvPr id="3139" name="Oval 3138">
          <a:extLst>
            <a:ext uri="{FF2B5EF4-FFF2-40B4-BE49-F238E27FC236}">
              <a16:creationId xmlns:a16="http://schemas.microsoft.com/office/drawing/2014/main" id="{00000000-0008-0000-0100-0000430C0000}"/>
            </a:ext>
          </a:extLst>
        </xdr:cNvPr>
        <xdr:cNvSpPr/>
      </xdr:nvSpPr>
      <xdr:spPr>
        <a:xfrm>
          <a:off x="6805130" y="5674648"/>
          <a:ext cx="117474" cy="121138"/>
        </a:xfrm>
        <a:prstGeom prst="ellipse">
          <a:avLst/>
        </a:prstGeom>
        <a:gradFill>
          <a:gsLst>
            <a:gs pos="0">
              <a:srgbClr val="6D8DF8"/>
            </a:gs>
            <a:gs pos="100000">
              <a:srgbClr val="2AF2F7"/>
            </a:gs>
          </a:gsLst>
          <a:lin ang="19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69594</xdr:colOff>
      <xdr:row>32</xdr:row>
      <xdr:rowOff>22148</xdr:rowOff>
    </xdr:from>
    <xdr:to>
      <xdr:col>11</xdr:col>
      <xdr:colOff>187068</xdr:colOff>
      <xdr:row>32</xdr:row>
      <xdr:rowOff>141354</xdr:rowOff>
    </xdr:to>
    <xdr:sp macro="" textlink="">
      <xdr:nvSpPr>
        <xdr:cNvPr id="3140" name="Oval 3139">
          <a:extLst>
            <a:ext uri="{FF2B5EF4-FFF2-40B4-BE49-F238E27FC236}">
              <a16:creationId xmlns:a16="http://schemas.microsoft.com/office/drawing/2014/main" id="{00000000-0008-0000-0100-0000440C0000}"/>
            </a:ext>
          </a:extLst>
        </xdr:cNvPr>
        <xdr:cNvSpPr/>
      </xdr:nvSpPr>
      <xdr:spPr>
        <a:xfrm>
          <a:off x="6805130" y="5900434"/>
          <a:ext cx="117474" cy="119206"/>
        </a:xfrm>
        <a:prstGeom prst="ellipse">
          <a:avLst/>
        </a:prstGeom>
        <a:gradFill>
          <a:gsLst>
            <a:gs pos="0">
              <a:srgbClr val="98CAE0"/>
            </a:gs>
            <a:gs pos="100000">
              <a:srgbClr val="4393C5"/>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361798</xdr:colOff>
      <xdr:row>25</xdr:row>
      <xdr:rowOff>107200</xdr:rowOff>
    </xdr:from>
    <xdr:to>
      <xdr:col>14</xdr:col>
      <xdr:colOff>602375</xdr:colOff>
      <xdr:row>27</xdr:row>
      <xdr:rowOff>1</xdr:rowOff>
    </xdr:to>
    <xdr:sp macro="" textlink="Processing!A67">
      <xdr:nvSpPr>
        <xdr:cNvPr id="3142" name="TextBox 3141">
          <a:extLst>
            <a:ext uri="{FF2B5EF4-FFF2-40B4-BE49-F238E27FC236}">
              <a16:creationId xmlns:a16="http://schemas.microsoft.com/office/drawing/2014/main" id="{00000000-0008-0000-0100-0000460C0000}"/>
            </a:ext>
          </a:extLst>
        </xdr:cNvPr>
        <xdr:cNvSpPr txBox="1"/>
      </xdr:nvSpPr>
      <xdr:spPr>
        <a:xfrm>
          <a:off x="7097334" y="4699611"/>
          <a:ext cx="2077541" cy="260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6EAE51B-8485-4E79-A0AE-0A062E65AC9E}" type="TxLink">
            <a:rPr lang="en-US" sz="1400" b="0" i="0" u="none" strike="noStrike">
              <a:solidFill>
                <a:srgbClr val="0F4672"/>
              </a:solidFill>
              <a:latin typeface="Aptos Narrow"/>
              <a:ea typeface="+mn-ea"/>
              <a:cs typeface="+mn-cs"/>
            </a:rPr>
            <a:pPr marL="0" indent="0" algn="ctr"/>
            <a:t>QTY &amp; Orders by Status</a:t>
          </a:fld>
          <a:endParaRPr lang="ru-RU" sz="1400" b="0" i="0" u="none" strike="noStrike">
            <a:solidFill>
              <a:srgbClr val="0F4672"/>
            </a:solidFill>
            <a:latin typeface="Aptos Narrow"/>
            <a:ea typeface="+mn-ea"/>
            <a:cs typeface="+mn-cs"/>
          </a:endParaRPr>
        </a:p>
      </xdr:txBody>
    </xdr:sp>
    <xdr:clientData/>
  </xdr:twoCellAnchor>
  <xdr:twoCellAnchor>
    <xdr:from>
      <xdr:col>11</xdr:col>
      <xdr:colOff>96275</xdr:colOff>
      <xdr:row>28</xdr:row>
      <xdr:rowOff>63818</xdr:rowOff>
    </xdr:from>
    <xdr:to>
      <xdr:col>12</xdr:col>
      <xdr:colOff>43817</xdr:colOff>
      <xdr:row>29</xdr:row>
      <xdr:rowOff>96751</xdr:rowOff>
    </xdr:to>
    <xdr:sp macro="" textlink="Processing!D67">
      <xdr:nvSpPr>
        <xdr:cNvPr id="3144" name="TextBox 3143">
          <a:extLst>
            <a:ext uri="{FF2B5EF4-FFF2-40B4-BE49-F238E27FC236}">
              <a16:creationId xmlns:a16="http://schemas.microsoft.com/office/drawing/2014/main" id="{00000000-0008-0000-0100-0000480C0000}"/>
            </a:ext>
          </a:extLst>
        </xdr:cNvPr>
        <xdr:cNvSpPr txBox="1"/>
      </xdr:nvSpPr>
      <xdr:spPr>
        <a:xfrm>
          <a:off x="6831811" y="5207318"/>
          <a:ext cx="559863" cy="216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43FC29-0521-451D-A14D-503E18205F19}" type="TxLink">
            <a:rPr lang="en-US" sz="1100" b="1" i="0" u="none" strike="noStrike">
              <a:solidFill>
                <a:schemeClr val="tx1"/>
              </a:solidFill>
              <a:latin typeface="Calibri"/>
              <a:ea typeface="+mn-ea"/>
              <a:cs typeface="Calibri"/>
            </a:rPr>
            <a:pPr marL="0" indent="0" algn="ctr"/>
            <a:t>QTY</a:t>
          </a:fld>
          <a:endParaRPr lang="ru-RU" sz="1100" b="1" i="0" u="none" strike="noStrike">
            <a:solidFill>
              <a:schemeClr val="tx1"/>
            </a:solidFill>
            <a:latin typeface="Aptos Narrow"/>
            <a:ea typeface="+mn-ea"/>
            <a:cs typeface="+mn-cs"/>
          </a:endParaRPr>
        </a:p>
      </xdr:txBody>
    </xdr:sp>
    <xdr:clientData/>
  </xdr:twoCellAnchor>
  <xdr:twoCellAnchor>
    <xdr:from>
      <xdr:col>11</xdr:col>
      <xdr:colOff>59559</xdr:colOff>
      <xdr:row>29</xdr:row>
      <xdr:rowOff>69908</xdr:rowOff>
    </xdr:from>
    <xdr:to>
      <xdr:col>12</xdr:col>
      <xdr:colOff>80532</xdr:colOff>
      <xdr:row>29</xdr:row>
      <xdr:rowOff>69908</xdr:rowOff>
    </xdr:to>
    <xdr:cxnSp macro="">
      <xdr:nvCxnSpPr>
        <xdr:cNvPr id="3149" name="Straight Connector 3148">
          <a:extLst>
            <a:ext uri="{FF2B5EF4-FFF2-40B4-BE49-F238E27FC236}">
              <a16:creationId xmlns:a16="http://schemas.microsoft.com/office/drawing/2014/main" id="{00000000-0008-0000-0100-00004D0C0000}"/>
            </a:ext>
          </a:extLst>
        </xdr:cNvPr>
        <xdr:cNvCxnSpPr/>
      </xdr:nvCxnSpPr>
      <xdr:spPr>
        <a:xfrm>
          <a:off x="6795095" y="5397104"/>
          <a:ext cx="633294"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210218</xdr:colOff>
      <xdr:row>12</xdr:row>
      <xdr:rowOff>59032</xdr:rowOff>
    </xdr:from>
    <xdr:to>
      <xdr:col>9</xdr:col>
      <xdr:colOff>147884</xdr:colOff>
      <xdr:row>13</xdr:row>
      <xdr:rowOff>157476</xdr:rowOff>
    </xdr:to>
    <xdr:sp macro="" textlink="Processing!D37">
      <xdr:nvSpPr>
        <xdr:cNvPr id="3150" name="TextBox 24">
          <a:extLst>
            <a:ext uri="{FF2B5EF4-FFF2-40B4-BE49-F238E27FC236}">
              <a16:creationId xmlns:a16="http://schemas.microsoft.com/office/drawing/2014/main" id="{00000000-0008-0000-0100-00004E0C0000}"/>
            </a:ext>
          </a:extLst>
        </xdr:cNvPr>
        <xdr:cNvSpPr txBox="1"/>
      </xdr:nvSpPr>
      <xdr:spPr>
        <a:xfrm>
          <a:off x="5108789" y="2263389"/>
          <a:ext cx="549988" cy="282141"/>
        </a:xfrm>
        <a:prstGeom prst="rect">
          <a:avLst/>
        </a:prstGeom>
        <a:noFill/>
      </xdr:spPr>
      <xdr:txBody>
        <a:bodyPr wrap="square" rtlCol="0" anchor="ctr">
          <a:spAutoFit/>
        </a:bodyPr>
        <a:lstStyle/>
        <a:p>
          <a:pPr marL="0" indent="0" algn="r" defTabSz="914400" rtl="0" eaLnBrk="1" latinLnBrk="0" hangingPunct="1"/>
          <a:fld id="{D887436C-0823-4105-9AD9-FA0D18126B30}" type="TxLink">
            <a:rPr lang="en-US" sz="1200" b="0" i="0" u="none" strike="noStrike" kern="1200">
              <a:solidFill>
                <a:schemeClr val="bg1"/>
              </a:solidFill>
              <a:latin typeface="Aptos Narrow"/>
              <a:ea typeface="+mn-ea"/>
              <a:cs typeface="+mn-cs"/>
            </a:rPr>
            <a:pPr marL="0" indent="0" algn="r" defTabSz="914400" rtl="0" eaLnBrk="1" latinLnBrk="0" hangingPunct="1"/>
            <a:t> </a:t>
          </a:fld>
          <a:endParaRPr lang="en-US" sz="1200" b="0" i="0" u="none" strike="noStrike" kern="1200">
            <a:solidFill>
              <a:schemeClr val="bg1"/>
            </a:solidFill>
            <a:latin typeface="Aptos Narrow"/>
            <a:ea typeface="+mn-ea"/>
            <a:cs typeface="+mn-cs"/>
          </a:endParaRPr>
        </a:p>
      </xdr:txBody>
    </xdr:sp>
    <xdr:clientData/>
  </xdr:twoCellAnchor>
  <xdr:twoCellAnchor>
    <xdr:from>
      <xdr:col>1</xdr:col>
      <xdr:colOff>106677</xdr:colOff>
      <xdr:row>25</xdr:row>
      <xdr:rowOff>34954</xdr:rowOff>
    </xdr:from>
    <xdr:to>
      <xdr:col>10</xdr:col>
      <xdr:colOff>29778</xdr:colOff>
      <xdr:row>35</xdr:row>
      <xdr:rowOff>41945</xdr:rowOff>
    </xdr:to>
    <xdr:graphicFrame macro="">
      <xdr:nvGraphicFramePr>
        <xdr:cNvPr id="3151" name="Chart 3150">
          <a:extLst>
            <a:ext uri="{FF2B5EF4-FFF2-40B4-BE49-F238E27FC236}">
              <a16:creationId xmlns:a16="http://schemas.microsoft.com/office/drawing/2014/main" id="{00000000-0008-0000-0100-00004F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288808</xdr:colOff>
      <xdr:row>24</xdr:row>
      <xdr:rowOff>95272</xdr:rowOff>
    </xdr:from>
    <xdr:to>
      <xdr:col>6</xdr:col>
      <xdr:colOff>462740</xdr:colOff>
      <xdr:row>26</xdr:row>
      <xdr:rowOff>76898</xdr:rowOff>
    </xdr:to>
    <mc:AlternateContent xmlns:mc="http://schemas.openxmlformats.org/markup-compatibility/2006" xmlns:a14="http://schemas.microsoft.com/office/drawing/2010/main">
      <mc:Choice Requires="a14">
        <xdr:graphicFrame macro="">
          <xdr:nvGraphicFramePr>
            <xdr:cNvPr id="3152" name="Years (Order_Date) 2">
              <a:extLst>
                <a:ext uri="{FF2B5EF4-FFF2-40B4-BE49-F238E27FC236}">
                  <a16:creationId xmlns:a16="http://schemas.microsoft.com/office/drawing/2014/main" id="{00000000-0008-0000-0100-0000500C0000}"/>
                </a:ext>
              </a:extLst>
            </xdr:cNvPr>
            <xdr:cNvGraphicFramePr/>
          </xdr:nvGraphicFramePr>
          <xdr:xfrm>
            <a:off x="0" y="0"/>
            <a:ext cx="0" cy="0"/>
          </xdr:xfrm>
          <a:graphic>
            <a:graphicData uri="http://schemas.microsoft.com/office/drawing/2010/slicer">
              <sle:slicer xmlns:sle="http://schemas.microsoft.com/office/drawing/2010/slicer" name="Years (Order_Date) 2"/>
            </a:graphicData>
          </a:graphic>
        </xdr:graphicFrame>
      </mc:Choice>
      <mc:Fallback xmlns="">
        <xdr:sp macro="" textlink="">
          <xdr:nvSpPr>
            <xdr:cNvPr id="0" name=""/>
            <xdr:cNvSpPr>
              <a:spLocks noTextEdit="1"/>
            </xdr:cNvSpPr>
          </xdr:nvSpPr>
          <xdr:spPr>
            <a:xfrm>
              <a:off x="2738094" y="4503986"/>
              <a:ext cx="1398575" cy="349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217862</xdr:colOff>
      <xdr:row>24</xdr:row>
      <xdr:rowOff>142155</xdr:rowOff>
    </xdr:from>
    <xdr:to>
      <xdr:col>4</xdr:col>
      <xdr:colOff>462559</xdr:colOff>
      <xdr:row>26</xdr:row>
      <xdr:rowOff>34956</xdr:rowOff>
    </xdr:to>
    <xdr:sp macro="" textlink="Processing!A76">
      <xdr:nvSpPr>
        <xdr:cNvPr id="3154" name="TextBox 3153">
          <a:extLst>
            <a:ext uri="{FF2B5EF4-FFF2-40B4-BE49-F238E27FC236}">
              <a16:creationId xmlns:a16="http://schemas.microsoft.com/office/drawing/2014/main" id="{00000000-0008-0000-0100-0000520C0000}"/>
            </a:ext>
          </a:extLst>
        </xdr:cNvPr>
        <xdr:cNvSpPr txBox="1"/>
      </xdr:nvSpPr>
      <xdr:spPr>
        <a:xfrm>
          <a:off x="830183" y="4550869"/>
          <a:ext cx="2081662" cy="260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3D8AE25-9FE2-4125-A61A-384F687E8747}" type="TxLink">
            <a:rPr lang="en-US" sz="1400" b="0" i="0" u="none" strike="noStrike">
              <a:solidFill>
                <a:srgbClr val="0F4672"/>
              </a:solidFill>
              <a:latin typeface="Aptos Narrow"/>
              <a:ea typeface="+mn-ea"/>
              <a:cs typeface="+mn-cs"/>
            </a:rPr>
            <a:pPr marL="0" indent="0" algn="l"/>
            <a:t>Monthly Order Trends</a:t>
          </a:fld>
          <a:endParaRPr lang="ru-RU" sz="1400" b="0" i="0" u="none" strike="noStrike">
            <a:solidFill>
              <a:srgbClr val="0F4672"/>
            </a:solidFill>
            <a:latin typeface="Aptos Narrow"/>
            <a:ea typeface="+mn-ea"/>
            <a:cs typeface="+mn-cs"/>
          </a:endParaRPr>
        </a:p>
      </xdr:txBody>
    </xdr:sp>
    <xdr:clientData/>
  </xdr:twoCellAnchor>
  <xdr:twoCellAnchor>
    <xdr:from>
      <xdr:col>6</xdr:col>
      <xdr:colOff>580394</xdr:colOff>
      <xdr:row>24</xdr:row>
      <xdr:rowOff>73254</xdr:rowOff>
    </xdr:from>
    <xdr:to>
      <xdr:col>9</xdr:col>
      <xdr:colOff>514773</xdr:colOff>
      <xdr:row>26</xdr:row>
      <xdr:rowOff>123918</xdr:rowOff>
    </xdr:to>
    <xdr:sp macro="" textlink="Processing!C89">
      <xdr:nvSpPr>
        <xdr:cNvPr id="3155" name="TextBox 3154">
          <a:extLst>
            <a:ext uri="{FF2B5EF4-FFF2-40B4-BE49-F238E27FC236}">
              <a16:creationId xmlns:a16="http://schemas.microsoft.com/office/drawing/2014/main" id="{00000000-0008-0000-0100-0000530C0000}"/>
            </a:ext>
          </a:extLst>
        </xdr:cNvPr>
        <xdr:cNvSpPr txBox="1"/>
      </xdr:nvSpPr>
      <xdr:spPr>
        <a:xfrm>
          <a:off x="4254323" y="4481968"/>
          <a:ext cx="1771343" cy="418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3089645-07FF-4C91-844E-6854EC4D3E84}" type="TxLink">
            <a:rPr lang="en-US" sz="2000" b="0" i="0" u="none" strike="noStrike">
              <a:solidFill>
                <a:srgbClr val="0F4672"/>
              </a:solidFill>
              <a:latin typeface="Aptos Narrow"/>
              <a:ea typeface="+mn-ea"/>
              <a:cs typeface="+mn-cs"/>
            </a:rPr>
            <a:pPr marL="0" indent="0" algn="r"/>
            <a:t>103</a:t>
          </a:fld>
          <a:endParaRPr lang="ru-RU" sz="2000" b="0" i="0" u="none" strike="noStrike">
            <a:solidFill>
              <a:srgbClr val="0F4672"/>
            </a:solidFill>
            <a:latin typeface="Aptos Narrow"/>
            <a:ea typeface="+mn-ea"/>
            <a:cs typeface="+mn-cs"/>
          </a:endParaRPr>
        </a:p>
      </xdr:txBody>
    </xdr:sp>
    <xdr:clientData/>
  </xdr:twoCellAnchor>
  <xdr:oneCellAnchor>
    <xdr:from>
      <xdr:col>1</xdr:col>
      <xdr:colOff>190566</xdr:colOff>
      <xdr:row>6</xdr:row>
      <xdr:rowOff>150984</xdr:rowOff>
    </xdr:from>
    <xdr:ext cx="1950441" cy="646395"/>
    <xdr:sp macro="" textlink="Processing!A2">
      <xdr:nvSpPr>
        <xdr:cNvPr id="3156" name="TextBox 3155">
          <a:extLst>
            <a:ext uri="{FF2B5EF4-FFF2-40B4-BE49-F238E27FC236}">
              <a16:creationId xmlns:a16="http://schemas.microsoft.com/office/drawing/2014/main" id="{00000000-0008-0000-0100-0000540C0000}"/>
            </a:ext>
          </a:extLst>
        </xdr:cNvPr>
        <xdr:cNvSpPr txBox="1"/>
      </xdr:nvSpPr>
      <xdr:spPr>
        <a:xfrm>
          <a:off x="802887" y="1253163"/>
          <a:ext cx="1950441" cy="646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46F12477-FB42-41BF-A4A6-211A682C3673}" type="TxLink">
            <a:rPr lang="en-US" sz="3600" b="0" i="0" u="none" strike="noStrike">
              <a:gradFill>
                <a:gsLst>
                  <a:gs pos="0">
                    <a:schemeClr val="bg1"/>
                  </a:gs>
                  <a:gs pos="100000">
                    <a:schemeClr val="accent1">
                      <a:lumMod val="20000"/>
                      <a:lumOff val="80000"/>
                    </a:schemeClr>
                  </a:gs>
                </a:gsLst>
                <a:lin ang="5400000" scaled="1"/>
              </a:gradFill>
              <a:effectLst>
                <a:outerShdw blurRad="50800" dist="38100" dir="8100000" algn="tr" rotWithShape="0">
                  <a:prstClr val="black">
                    <a:alpha val="40000"/>
                  </a:prstClr>
                </a:outerShdw>
              </a:effectLst>
              <a:latin typeface="Roboto Black" panose="02000000000000000000" pitchFamily="2" charset="0"/>
              <a:ea typeface="Roboto Black" panose="02000000000000000000" pitchFamily="2" charset="0"/>
              <a:cs typeface="Calibri"/>
            </a:rPr>
            <a:pPr marL="0" indent="0" algn="ctr"/>
            <a:t>103</a:t>
          </a:fld>
          <a:endParaRPr lang="en-US" sz="3600" b="0" i="0" u="none" strike="noStrike">
            <a:gradFill>
              <a:gsLst>
                <a:gs pos="0">
                  <a:schemeClr val="bg1"/>
                </a:gs>
                <a:gs pos="100000">
                  <a:schemeClr val="accent1">
                    <a:lumMod val="20000"/>
                    <a:lumOff val="80000"/>
                  </a:schemeClr>
                </a:gs>
              </a:gsLst>
              <a:lin ang="5400000" scaled="1"/>
            </a:gradFill>
            <a:effectLst>
              <a:outerShdw blurRad="50800" dist="38100" dir="8100000" algn="tr" rotWithShape="0">
                <a:prstClr val="black">
                  <a:alpha val="40000"/>
                </a:prstClr>
              </a:outerShdw>
            </a:effectLst>
            <a:latin typeface="Roboto Black" panose="02000000000000000000" pitchFamily="2" charset="0"/>
            <a:ea typeface="Roboto Black" panose="02000000000000000000" pitchFamily="2" charset="0"/>
            <a:cs typeface="Calibri"/>
          </a:endParaRPr>
        </a:p>
      </xdr:txBody>
    </xdr:sp>
    <xdr:clientData/>
  </xdr:oneCellAnchor>
  <xdr:oneCellAnchor>
    <xdr:from>
      <xdr:col>4</xdr:col>
      <xdr:colOff>565199</xdr:colOff>
      <xdr:row>6</xdr:row>
      <xdr:rowOff>150984</xdr:rowOff>
    </xdr:from>
    <xdr:ext cx="1950441" cy="646395"/>
    <xdr:sp macro="" textlink="Processing!B2">
      <xdr:nvSpPr>
        <xdr:cNvPr id="3157" name="TextBox 3156">
          <a:extLst>
            <a:ext uri="{FF2B5EF4-FFF2-40B4-BE49-F238E27FC236}">
              <a16:creationId xmlns:a16="http://schemas.microsoft.com/office/drawing/2014/main" id="{00000000-0008-0000-0100-0000550C0000}"/>
            </a:ext>
          </a:extLst>
        </xdr:cNvPr>
        <xdr:cNvSpPr txBox="1"/>
      </xdr:nvSpPr>
      <xdr:spPr>
        <a:xfrm>
          <a:off x="3014485" y="1253163"/>
          <a:ext cx="1950441" cy="646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D4499758-5FC7-4408-BDCF-AA449C3D9C81}" type="TxLink">
            <a:rPr lang="en-US" sz="3600" b="0" i="0" u="none" strike="noStrike">
              <a:gradFill>
                <a:gsLst>
                  <a:gs pos="0">
                    <a:schemeClr val="bg1"/>
                  </a:gs>
                  <a:gs pos="100000">
                    <a:schemeClr val="accent1">
                      <a:lumMod val="20000"/>
                      <a:lumOff val="80000"/>
                    </a:schemeClr>
                  </a:gs>
                </a:gsLst>
                <a:lin ang="5400000" scaled="1"/>
              </a:gradFill>
              <a:effectLst>
                <a:outerShdw blurRad="50800" dist="38100" dir="8100000" algn="tr" rotWithShape="0">
                  <a:prstClr val="black">
                    <a:alpha val="40000"/>
                  </a:prstClr>
                </a:outerShdw>
              </a:effectLst>
              <a:latin typeface="Roboto Black" panose="02000000000000000000" pitchFamily="2" charset="0"/>
              <a:ea typeface="Roboto Black" panose="02000000000000000000" pitchFamily="2" charset="0"/>
              <a:cs typeface="Calibri"/>
            </a:rPr>
            <a:pPr marL="0" indent="0" algn="ctr"/>
            <a:t> 9,283 </a:t>
          </a:fld>
          <a:endParaRPr lang="en-US" sz="3600" b="0" i="0" u="none" strike="noStrike">
            <a:gradFill>
              <a:gsLst>
                <a:gs pos="0">
                  <a:schemeClr val="bg1"/>
                </a:gs>
                <a:gs pos="100000">
                  <a:schemeClr val="accent1">
                    <a:lumMod val="20000"/>
                    <a:lumOff val="80000"/>
                  </a:schemeClr>
                </a:gs>
              </a:gsLst>
              <a:lin ang="5400000" scaled="1"/>
            </a:gradFill>
            <a:effectLst>
              <a:outerShdw blurRad="50800" dist="38100" dir="8100000" algn="tr" rotWithShape="0">
                <a:prstClr val="black">
                  <a:alpha val="40000"/>
                </a:prstClr>
              </a:outerShdw>
            </a:effectLst>
            <a:latin typeface="Roboto Black" panose="02000000000000000000" pitchFamily="2" charset="0"/>
            <a:ea typeface="Roboto Black" panose="02000000000000000000" pitchFamily="2" charset="0"/>
            <a:cs typeface="Calibri"/>
          </a:endParaRPr>
        </a:p>
      </xdr:txBody>
    </xdr:sp>
    <xdr:clientData/>
  </xdr:oneCellAnchor>
  <xdr:oneCellAnchor>
    <xdr:from>
      <xdr:col>8</xdr:col>
      <xdr:colOff>281447</xdr:colOff>
      <xdr:row>6</xdr:row>
      <xdr:rowOff>150984</xdr:rowOff>
    </xdr:from>
    <xdr:ext cx="1950441" cy="646395"/>
    <xdr:sp macro="" textlink="Processing!C2">
      <xdr:nvSpPr>
        <xdr:cNvPr id="3158" name="TextBox 3157">
          <a:extLst>
            <a:ext uri="{FF2B5EF4-FFF2-40B4-BE49-F238E27FC236}">
              <a16:creationId xmlns:a16="http://schemas.microsoft.com/office/drawing/2014/main" id="{00000000-0008-0000-0100-0000560C0000}"/>
            </a:ext>
          </a:extLst>
        </xdr:cNvPr>
        <xdr:cNvSpPr txBox="1"/>
      </xdr:nvSpPr>
      <xdr:spPr>
        <a:xfrm>
          <a:off x="5180018" y="1253163"/>
          <a:ext cx="1950441" cy="646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307E56C0-4460-49EA-A5D1-609ADD56AD12}" type="TxLink">
            <a:rPr lang="en-US" sz="3600" b="0" i="0" u="none" strike="noStrike">
              <a:gradFill>
                <a:gsLst>
                  <a:gs pos="0">
                    <a:schemeClr val="bg1"/>
                  </a:gs>
                  <a:gs pos="100000">
                    <a:schemeClr val="accent1">
                      <a:lumMod val="20000"/>
                      <a:lumOff val="80000"/>
                    </a:schemeClr>
                  </a:gs>
                </a:gsLst>
                <a:lin ang="5400000" scaled="1"/>
              </a:gradFill>
              <a:effectLst>
                <a:outerShdw blurRad="50800" dist="38100" dir="8100000" algn="tr" rotWithShape="0">
                  <a:prstClr val="black">
                    <a:alpha val="40000"/>
                  </a:prstClr>
                </a:outerShdw>
              </a:effectLst>
              <a:latin typeface="Roboto Black" panose="02000000000000000000" pitchFamily="2" charset="0"/>
              <a:ea typeface="Roboto Black" panose="02000000000000000000" pitchFamily="2" charset="0"/>
              <a:cs typeface="Calibri"/>
            </a:rPr>
            <a:pPr marL="0" indent="0" algn="ctr"/>
            <a:t>$543K</a:t>
          </a:fld>
          <a:endParaRPr lang="en-US" sz="3600" b="0" i="0" u="none" strike="noStrike">
            <a:gradFill>
              <a:gsLst>
                <a:gs pos="0">
                  <a:schemeClr val="bg1"/>
                </a:gs>
                <a:gs pos="100000">
                  <a:schemeClr val="accent1">
                    <a:lumMod val="20000"/>
                    <a:lumOff val="80000"/>
                  </a:schemeClr>
                </a:gs>
              </a:gsLst>
              <a:lin ang="5400000" scaled="1"/>
            </a:gradFill>
            <a:effectLst>
              <a:outerShdw blurRad="50800" dist="38100" dir="8100000" algn="tr" rotWithShape="0">
                <a:prstClr val="black">
                  <a:alpha val="40000"/>
                </a:prstClr>
              </a:outerShdw>
            </a:effectLst>
            <a:latin typeface="Roboto Black" panose="02000000000000000000" pitchFamily="2" charset="0"/>
            <a:ea typeface="Roboto Black" panose="02000000000000000000" pitchFamily="2" charset="0"/>
            <a:cs typeface="Calibri"/>
          </a:endParaRPr>
        </a:p>
      </xdr:txBody>
    </xdr:sp>
    <xdr:clientData/>
  </xdr:oneCellAnchor>
  <xdr:oneCellAnchor>
    <xdr:from>
      <xdr:col>12</xdr:col>
      <xdr:colOff>43759</xdr:colOff>
      <xdr:row>6</xdr:row>
      <xdr:rowOff>150984</xdr:rowOff>
    </xdr:from>
    <xdr:ext cx="1950441" cy="646395"/>
    <xdr:sp macro="" textlink="Processing!D2">
      <xdr:nvSpPr>
        <xdr:cNvPr id="3159" name="TextBox 3158">
          <a:extLst>
            <a:ext uri="{FF2B5EF4-FFF2-40B4-BE49-F238E27FC236}">
              <a16:creationId xmlns:a16="http://schemas.microsoft.com/office/drawing/2014/main" id="{00000000-0008-0000-0100-0000570C0000}"/>
            </a:ext>
          </a:extLst>
        </xdr:cNvPr>
        <xdr:cNvSpPr txBox="1"/>
      </xdr:nvSpPr>
      <xdr:spPr>
        <a:xfrm>
          <a:off x="7391616" y="1253163"/>
          <a:ext cx="1950441" cy="646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8AE195B8-970F-4581-A3E7-F94ED60F8C20}" type="TxLink">
            <a:rPr lang="en-US" sz="3600" b="0" i="0" u="none" strike="noStrike">
              <a:gradFill>
                <a:gsLst>
                  <a:gs pos="0">
                    <a:schemeClr val="bg1"/>
                  </a:gs>
                  <a:gs pos="100000">
                    <a:schemeClr val="accent1">
                      <a:lumMod val="20000"/>
                      <a:lumOff val="80000"/>
                    </a:schemeClr>
                  </a:gs>
                </a:gsLst>
                <a:lin ang="5400000" scaled="1"/>
              </a:gradFill>
              <a:effectLst>
                <a:outerShdw blurRad="50800" dist="38100" dir="8100000" algn="tr" rotWithShape="0">
                  <a:prstClr val="black">
                    <a:alpha val="40000"/>
                  </a:prstClr>
                </a:outerShdw>
              </a:effectLst>
              <a:latin typeface="Roboto Black" panose="02000000000000000000" pitchFamily="2" charset="0"/>
              <a:ea typeface="Roboto Black" panose="02000000000000000000" pitchFamily="2" charset="0"/>
              <a:cs typeface="Calibri"/>
            </a:rPr>
            <a:pPr marL="0" indent="0" algn="ctr"/>
            <a:t>14</a:t>
          </a:fld>
          <a:endParaRPr lang="en-US" sz="3600" b="0" i="0" u="none" strike="noStrike">
            <a:gradFill>
              <a:gsLst>
                <a:gs pos="0">
                  <a:schemeClr val="bg1"/>
                </a:gs>
                <a:gs pos="100000">
                  <a:schemeClr val="accent1">
                    <a:lumMod val="20000"/>
                    <a:lumOff val="80000"/>
                  </a:schemeClr>
                </a:gs>
              </a:gsLst>
              <a:lin ang="5400000" scaled="1"/>
            </a:gradFill>
            <a:effectLst>
              <a:outerShdw blurRad="50800" dist="38100" dir="8100000" algn="tr" rotWithShape="0">
                <a:prstClr val="black">
                  <a:alpha val="40000"/>
                </a:prstClr>
              </a:outerShdw>
            </a:effectLst>
            <a:latin typeface="Roboto Black" panose="02000000000000000000" pitchFamily="2" charset="0"/>
            <a:ea typeface="Roboto Black" panose="02000000000000000000" pitchFamily="2" charset="0"/>
            <a:cs typeface="Calibri"/>
          </a:endParaRPr>
        </a:p>
      </xdr:txBody>
    </xdr:sp>
    <xdr:clientData/>
  </xdr:oneCellAnchor>
  <xdr:twoCellAnchor>
    <xdr:from>
      <xdr:col>5</xdr:col>
      <xdr:colOff>401411</xdr:colOff>
      <xdr:row>0</xdr:row>
      <xdr:rowOff>170089</xdr:rowOff>
    </xdr:from>
    <xdr:to>
      <xdr:col>7</xdr:col>
      <xdr:colOff>571500</xdr:colOff>
      <xdr:row>3</xdr:row>
      <xdr:rowOff>149679</xdr:rowOff>
    </xdr:to>
    <xdr:sp macro="" textlink="">
      <xdr:nvSpPr>
        <xdr:cNvPr id="3160" name="Rectangle 3159">
          <a:hlinkClick xmlns:r="http://schemas.openxmlformats.org/officeDocument/2006/relationships" r:id="rId10"/>
          <a:extLst>
            <a:ext uri="{FF2B5EF4-FFF2-40B4-BE49-F238E27FC236}">
              <a16:creationId xmlns:a16="http://schemas.microsoft.com/office/drawing/2014/main" id="{00000000-0008-0000-0100-0000580C0000}"/>
            </a:ext>
          </a:extLst>
        </xdr:cNvPr>
        <xdr:cNvSpPr/>
      </xdr:nvSpPr>
      <xdr:spPr>
        <a:xfrm>
          <a:off x="3463018" y="170089"/>
          <a:ext cx="1394732" cy="53067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34018</xdr:colOff>
      <xdr:row>0</xdr:row>
      <xdr:rowOff>170089</xdr:rowOff>
    </xdr:from>
    <xdr:to>
      <xdr:col>10</xdr:col>
      <xdr:colOff>142875</xdr:colOff>
      <xdr:row>3</xdr:row>
      <xdr:rowOff>149679</xdr:rowOff>
    </xdr:to>
    <xdr:sp macro="" textlink="">
      <xdr:nvSpPr>
        <xdr:cNvPr id="3161" name="Rectangle 3160">
          <a:hlinkClick xmlns:r="http://schemas.openxmlformats.org/officeDocument/2006/relationships" r:id="rId11"/>
          <a:extLst>
            <a:ext uri="{FF2B5EF4-FFF2-40B4-BE49-F238E27FC236}">
              <a16:creationId xmlns:a16="http://schemas.microsoft.com/office/drawing/2014/main" id="{00000000-0008-0000-0100-0000590C0000}"/>
            </a:ext>
          </a:extLst>
        </xdr:cNvPr>
        <xdr:cNvSpPr/>
      </xdr:nvSpPr>
      <xdr:spPr>
        <a:xfrm>
          <a:off x="4932589" y="170089"/>
          <a:ext cx="1333500" cy="53067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231321</xdr:colOff>
      <xdr:row>0</xdr:row>
      <xdr:rowOff>170089</xdr:rowOff>
    </xdr:from>
    <xdr:to>
      <xdr:col>12</xdr:col>
      <xdr:colOff>340178</xdr:colOff>
      <xdr:row>3</xdr:row>
      <xdr:rowOff>149679</xdr:rowOff>
    </xdr:to>
    <xdr:sp macro="" textlink="">
      <xdr:nvSpPr>
        <xdr:cNvPr id="3162" name="Rectangle 3161">
          <a:hlinkClick xmlns:r="http://schemas.openxmlformats.org/officeDocument/2006/relationships" r:id="rId12"/>
          <a:extLst>
            <a:ext uri="{FF2B5EF4-FFF2-40B4-BE49-F238E27FC236}">
              <a16:creationId xmlns:a16="http://schemas.microsoft.com/office/drawing/2014/main" id="{00000000-0008-0000-0100-00005A0C0000}"/>
            </a:ext>
          </a:extLst>
        </xdr:cNvPr>
        <xdr:cNvSpPr/>
      </xdr:nvSpPr>
      <xdr:spPr>
        <a:xfrm>
          <a:off x="6354535" y="170089"/>
          <a:ext cx="1333500" cy="53067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421821</xdr:colOff>
      <xdr:row>0</xdr:row>
      <xdr:rowOff>170089</xdr:rowOff>
    </xdr:from>
    <xdr:to>
      <xdr:col>14</xdr:col>
      <xdr:colOff>530678</xdr:colOff>
      <xdr:row>3</xdr:row>
      <xdr:rowOff>149679</xdr:rowOff>
    </xdr:to>
    <xdr:sp macro="" textlink="">
      <xdr:nvSpPr>
        <xdr:cNvPr id="3163" name="Rectangle 3162">
          <a:hlinkClick xmlns:r="http://schemas.openxmlformats.org/officeDocument/2006/relationships" r:id="rId13"/>
          <a:extLst>
            <a:ext uri="{FF2B5EF4-FFF2-40B4-BE49-F238E27FC236}">
              <a16:creationId xmlns:a16="http://schemas.microsoft.com/office/drawing/2014/main" id="{00000000-0008-0000-0100-00005B0C0000}"/>
            </a:ext>
          </a:extLst>
        </xdr:cNvPr>
        <xdr:cNvSpPr/>
      </xdr:nvSpPr>
      <xdr:spPr>
        <a:xfrm>
          <a:off x="7769678" y="170089"/>
          <a:ext cx="1333500" cy="53067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34018</xdr:colOff>
      <xdr:row>0</xdr:row>
      <xdr:rowOff>170089</xdr:rowOff>
    </xdr:from>
    <xdr:to>
      <xdr:col>17</xdr:col>
      <xdr:colOff>142875</xdr:colOff>
      <xdr:row>3</xdr:row>
      <xdr:rowOff>149679</xdr:rowOff>
    </xdr:to>
    <xdr:sp macro="" textlink="">
      <xdr:nvSpPr>
        <xdr:cNvPr id="3164" name="Rectangle 3163">
          <a:hlinkClick xmlns:r="http://schemas.openxmlformats.org/officeDocument/2006/relationships" r:id="rId14"/>
          <a:extLst>
            <a:ext uri="{FF2B5EF4-FFF2-40B4-BE49-F238E27FC236}">
              <a16:creationId xmlns:a16="http://schemas.microsoft.com/office/drawing/2014/main" id="{00000000-0008-0000-0100-00005C0C0000}"/>
            </a:ext>
          </a:extLst>
        </xdr:cNvPr>
        <xdr:cNvSpPr/>
      </xdr:nvSpPr>
      <xdr:spPr>
        <a:xfrm>
          <a:off x="9218839" y="170089"/>
          <a:ext cx="1333500" cy="53067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544647</xdr:colOff>
      <xdr:row>0</xdr:row>
      <xdr:rowOff>137160</xdr:rowOff>
    </xdr:from>
    <xdr:to>
      <xdr:col>20</xdr:col>
      <xdr:colOff>125318</xdr:colOff>
      <xdr:row>35</xdr:row>
      <xdr:rowOff>156781</xdr:rowOff>
    </xdr:to>
    <xdr:grpSp>
      <xdr:nvGrpSpPr>
        <xdr:cNvPr id="2" name="Group 1">
          <a:extLst>
            <a:ext uri="{FF2B5EF4-FFF2-40B4-BE49-F238E27FC236}">
              <a16:creationId xmlns:a16="http://schemas.microsoft.com/office/drawing/2014/main" id="{00000000-0008-0000-0300-000002000000}"/>
            </a:ext>
          </a:extLst>
        </xdr:cNvPr>
        <xdr:cNvGrpSpPr/>
      </xdr:nvGrpSpPr>
      <xdr:grpSpPr>
        <a:xfrm>
          <a:off x="544647" y="137160"/>
          <a:ext cx="11827100" cy="6448996"/>
          <a:chOff x="258097" y="108065"/>
          <a:chExt cx="11370478" cy="6420421"/>
        </a:xfrm>
      </xdr:grpSpPr>
      <xdr:sp macro="" textlink="">
        <xdr:nvSpPr>
          <xdr:cNvPr id="3" name="Rectangle: Rounded Corners 2">
            <a:extLst>
              <a:ext uri="{FF2B5EF4-FFF2-40B4-BE49-F238E27FC236}">
                <a16:creationId xmlns:a16="http://schemas.microsoft.com/office/drawing/2014/main" id="{00000000-0008-0000-0300-000003000000}"/>
              </a:ext>
            </a:extLst>
          </xdr:cNvPr>
          <xdr:cNvSpPr/>
        </xdr:nvSpPr>
        <xdr:spPr>
          <a:xfrm>
            <a:off x="263929" y="166241"/>
            <a:ext cx="11364646" cy="6362245"/>
          </a:xfrm>
          <a:prstGeom prst="roundRect">
            <a:avLst>
              <a:gd name="adj" fmla="val 4725"/>
            </a:avLst>
          </a:prstGeom>
          <a:gradFill flip="none" rotWithShape="1">
            <a:gsLst>
              <a:gs pos="0">
                <a:srgbClr val="9FB0C8"/>
              </a:gs>
              <a:gs pos="100000">
                <a:srgbClr val="8DA0BD"/>
              </a:gs>
            </a:gsLst>
            <a:path path="circle">
              <a:fillToRect r="100000" b="100000"/>
            </a:path>
            <a:tileRect l="-100000" t="-100000"/>
          </a:gradFill>
          <a:ln>
            <a:noFill/>
          </a:ln>
          <a:effectLst>
            <a:outerShdw blurRad="698500" dist="127000" dir="2700000" algn="tl" rotWithShape="0">
              <a:srgbClr val="3D506B">
                <a:alpha val="9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sp macro="" textlink="">
        <xdr:nvSpPr>
          <xdr:cNvPr id="4" name="Freeform: Shape 3">
            <a:extLst>
              <a:ext uri="{FF2B5EF4-FFF2-40B4-BE49-F238E27FC236}">
                <a16:creationId xmlns:a16="http://schemas.microsoft.com/office/drawing/2014/main" id="{00000000-0008-0000-0300-000004000000}"/>
              </a:ext>
            </a:extLst>
          </xdr:cNvPr>
          <xdr:cNvSpPr/>
        </xdr:nvSpPr>
        <xdr:spPr>
          <a:xfrm>
            <a:off x="258097" y="108065"/>
            <a:ext cx="11364646" cy="615753"/>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gradFill flip="none" rotWithShape="1">
            <a:gsLst>
              <a:gs pos="0">
                <a:srgbClr val="212743"/>
              </a:gs>
              <a:gs pos="100000">
                <a:srgbClr val="202644"/>
              </a:gs>
            </a:gsLst>
            <a:lin ang="54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clientData/>
  </xdr:twoCellAnchor>
  <xdr:twoCellAnchor>
    <xdr:from>
      <xdr:col>5</xdr:col>
      <xdr:colOff>450006</xdr:colOff>
      <xdr:row>1</xdr:row>
      <xdr:rowOff>85619</xdr:rowOff>
    </xdr:from>
    <xdr:to>
      <xdr:col>7</xdr:col>
      <xdr:colOff>526997</xdr:colOff>
      <xdr:row>3</xdr:row>
      <xdr:rowOff>90562</xdr:rowOff>
    </xdr:to>
    <xdr:sp macro="" textlink="">
      <xdr:nvSpPr>
        <xdr:cNvPr id="5" name="Rectangle: Rounded Corners 4">
          <a:extLst>
            <a:ext uri="{FF2B5EF4-FFF2-40B4-BE49-F238E27FC236}">
              <a16:creationId xmlns:a16="http://schemas.microsoft.com/office/drawing/2014/main" id="{00000000-0008-0000-0300-000005000000}"/>
            </a:ext>
          </a:extLst>
        </xdr:cNvPr>
        <xdr:cNvSpPr/>
      </xdr:nvSpPr>
      <xdr:spPr>
        <a:xfrm>
          <a:off x="3498006" y="268499"/>
          <a:ext cx="1296191" cy="370703"/>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rgbClr val="BEFBFF"/>
              </a:solidFill>
              <a:effectLst/>
              <a:latin typeface="+mn-lt"/>
              <a:ea typeface="+mn-ea"/>
              <a:cs typeface="+mn-cs"/>
            </a:rPr>
            <a:t>Dashboard</a:t>
          </a:r>
          <a:endParaRPr lang="ru-RU" sz="1100" b="0" kern="1200">
            <a:solidFill>
              <a:srgbClr val="BEFBFF"/>
            </a:solidFill>
            <a:effectLst/>
            <a:latin typeface="+mn-lt"/>
            <a:ea typeface="+mn-ea"/>
            <a:cs typeface="+mn-cs"/>
          </a:endParaRPr>
        </a:p>
      </xdr:txBody>
    </xdr:sp>
    <xdr:clientData/>
  </xdr:twoCellAnchor>
  <xdr:twoCellAnchor>
    <xdr:from>
      <xdr:col>10</xdr:col>
      <xdr:colOff>242727</xdr:colOff>
      <xdr:row>1</xdr:row>
      <xdr:rowOff>85619</xdr:rowOff>
    </xdr:from>
    <xdr:to>
      <xdr:col>12</xdr:col>
      <xdr:colOff>321066</xdr:colOff>
      <xdr:row>3</xdr:row>
      <xdr:rowOff>90562</xdr:rowOff>
    </xdr:to>
    <xdr:sp macro="" textlink="">
      <xdr:nvSpPr>
        <xdr:cNvPr id="6" name="Rectangle: Rounded Corners 5">
          <a:extLst>
            <a:ext uri="{FF2B5EF4-FFF2-40B4-BE49-F238E27FC236}">
              <a16:creationId xmlns:a16="http://schemas.microsoft.com/office/drawing/2014/main" id="{00000000-0008-0000-0300-000006000000}"/>
            </a:ext>
          </a:extLst>
        </xdr:cNvPr>
        <xdr:cNvSpPr/>
      </xdr:nvSpPr>
      <xdr:spPr>
        <a:xfrm>
          <a:off x="6338727" y="268499"/>
          <a:ext cx="1297539" cy="370703"/>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a:solidFill>
                <a:srgbClr val="BEFBFF"/>
              </a:solidFill>
              <a:effectLst/>
              <a:latin typeface="+mn-lt"/>
              <a:ea typeface="+mn-ea"/>
              <a:cs typeface="+mn-cs"/>
            </a:rPr>
            <a:t>Analysis</a:t>
          </a:r>
          <a:endParaRPr lang="ru-RU" sz="1050" b="0" kern="1200">
            <a:solidFill>
              <a:srgbClr val="BEFBFF"/>
            </a:solidFill>
            <a:latin typeface="+mn-lt"/>
            <a:ea typeface="+mn-ea"/>
            <a:cs typeface="+mn-cs"/>
          </a:endParaRPr>
        </a:p>
      </xdr:txBody>
    </xdr:sp>
    <xdr:clientData/>
  </xdr:twoCellAnchor>
  <xdr:twoCellAnchor>
    <xdr:from>
      <xdr:col>8</xdr:col>
      <xdr:colOff>40206</xdr:colOff>
      <xdr:row>1</xdr:row>
      <xdr:rowOff>85619</xdr:rowOff>
    </xdr:from>
    <xdr:to>
      <xdr:col>10</xdr:col>
      <xdr:colOff>117197</xdr:colOff>
      <xdr:row>3</xdr:row>
      <xdr:rowOff>90562</xdr:rowOff>
    </xdr:to>
    <xdr:sp macro="" textlink="">
      <xdr:nvSpPr>
        <xdr:cNvPr id="7" name="Rectangle: Rounded Corners 6">
          <a:extLst>
            <a:ext uri="{FF2B5EF4-FFF2-40B4-BE49-F238E27FC236}">
              <a16:creationId xmlns:a16="http://schemas.microsoft.com/office/drawing/2014/main" id="{00000000-0008-0000-0300-000007000000}"/>
            </a:ext>
          </a:extLst>
        </xdr:cNvPr>
        <xdr:cNvSpPr/>
      </xdr:nvSpPr>
      <xdr:spPr>
        <a:xfrm>
          <a:off x="4917006" y="268499"/>
          <a:ext cx="1296191" cy="370703"/>
        </a:xfrm>
        <a:prstGeom prst="roundRect">
          <a:avLst>
            <a:gd name="adj" fmla="val 49653"/>
          </a:avLst>
        </a:prstGeom>
        <a:gradFill flip="none" rotWithShape="1">
          <a:gsLst>
            <a:gs pos="18000">
              <a:srgbClr val="003760"/>
            </a:gs>
            <a:gs pos="90000">
              <a:srgbClr val="003964"/>
            </a:gs>
          </a:gsLst>
          <a:path path="circle">
            <a:fillToRect l="50000" t="-80000" r="50000" b="180000"/>
          </a:path>
          <a:tileRect/>
        </a:gradFill>
        <a:ln w="9525">
          <a:solidFill>
            <a:srgbClr val="66FFFF"/>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050" kern="1200">
              <a:solidFill>
                <a:srgbClr val="66FFFF"/>
              </a:solidFill>
              <a:latin typeface="+mn-lt"/>
              <a:ea typeface="+mn-ea"/>
              <a:cs typeface="+mn-cs"/>
            </a:rPr>
            <a:t>Operations </a:t>
          </a:r>
          <a:endParaRPr lang="ru-RU" sz="1050" kern="1200">
            <a:solidFill>
              <a:srgbClr val="66FFFF"/>
            </a:solidFill>
            <a:latin typeface="+mn-lt"/>
            <a:ea typeface="+mn-ea"/>
            <a:cs typeface="+mn-cs"/>
          </a:endParaRPr>
        </a:p>
      </xdr:txBody>
    </xdr:sp>
    <xdr:clientData/>
  </xdr:twoCellAnchor>
  <xdr:twoCellAnchor>
    <xdr:from>
      <xdr:col>12</xdr:col>
      <xdr:colOff>446596</xdr:colOff>
      <xdr:row>1</xdr:row>
      <xdr:rowOff>85619</xdr:rowOff>
    </xdr:from>
    <xdr:to>
      <xdr:col>14</xdr:col>
      <xdr:colOff>523587</xdr:colOff>
      <xdr:row>3</xdr:row>
      <xdr:rowOff>90562</xdr:rowOff>
    </xdr:to>
    <xdr:sp macro="" textlink="">
      <xdr:nvSpPr>
        <xdr:cNvPr id="8" name="Rectangle: Rounded Corners 7">
          <a:extLst>
            <a:ext uri="{FF2B5EF4-FFF2-40B4-BE49-F238E27FC236}">
              <a16:creationId xmlns:a16="http://schemas.microsoft.com/office/drawing/2014/main" id="{00000000-0008-0000-0300-000008000000}"/>
            </a:ext>
          </a:extLst>
        </xdr:cNvPr>
        <xdr:cNvSpPr/>
      </xdr:nvSpPr>
      <xdr:spPr>
        <a:xfrm>
          <a:off x="7761796" y="268499"/>
          <a:ext cx="1296191" cy="370703"/>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rgbClr val="BEFBFF"/>
              </a:solidFill>
              <a:effectLst/>
              <a:latin typeface="+mn-lt"/>
              <a:ea typeface="+mn-ea"/>
              <a:cs typeface="+mn-cs"/>
            </a:rPr>
            <a:t>Dataset</a:t>
          </a:r>
          <a:endParaRPr lang="ru-RU" sz="1050" b="0" kern="1200">
            <a:solidFill>
              <a:srgbClr val="BEFBFF"/>
            </a:solidFill>
            <a:latin typeface="+mn-lt"/>
            <a:ea typeface="+mn-ea"/>
            <a:cs typeface="+mn-cs"/>
          </a:endParaRPr>
        </a:p>
      </xdr:txBody>
    </xdr:sp>
    <xdr:clientData/>
  </xdr:twoCellAnchor>
  <xdr:twoCellAnchor>
    <xdr:from>
      <xdr:col>15</xdr:col>
      <xdr:colOff>424241</xdr:colOff>
      <xdr:row>4</xdr:row>
      <xdr:rowOff>164483</xdr:rowOff>
    </xdr:from>
    <xdr:to>
      <xdr:col>19</xdr:col>
      <xdr:colOff>573708</xdr:colOff>
      <xdr:row>17</xdr:row>
      <xdr:rowOff>167780</xdr:rowOff>
    </xdr:to>
    <xdr:sp macro="" textlink="">
      <xdr:nvSpPr>
        <xdr:cNvPr id="9" name="Rectangle: Rounded Corners 8">
          <a:extLst>
            <a:ext uri="{FF2B5EF4-FFF2-40B4-BE49-F238E27FC236}">
              <a16:creationId xmlns:a16="http://schemas.microsoft.com/office/drawing/2014/main" id="{00000000-0008-0000-0300-000009000000}"/>
            </a:ext>
          </a:extLst>
        </xdr:cNvPr>
        <xdr:cNvSpPr/>
      </xdr:nvSpPr>
      <xdr:spPr>
        <a:xfrm>
          <a:off x="9568241" y="896003"/>
          <a:ext cx="2587867" cy="2380737"/>
        </a:xfrm>
        <a:prstGeom prst="roundRect">
          <a:avLst>
            <a:gd name="adj" fmla="val 12458"/>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15</xdr:col>
      <xdr:colOff>420831</xdr:colOff>
      <xdr:row>18</xdr:row>
      <xdr:rowOff>62919</xdr:rowOff>
    </xdr:from>
    <xdr:to>
      <xdr:col>19</xdr:col>
      <xdr:colOff>573856</xdr:colOff>
      <xdr:row>35</xdr:row>
      <xdr:rowOff>60674</xdr:rowOff>
    </xdr:to>
    <xdr:sp macro="" textlink="">
      <xdr:nvSpPr>
        <xdr:cNvPr id="10" name="Rectangle: Rounded Corners 9">
          <a:extLst>
            <a:ext uri="{FF2B5EF4-FFF2-40B4-BE49-F238E27FC236}">
              <a16:creationId xmlns:a16="http://schemas.microsoft.com/office/drawing/2014/main" id="{00000000-0008-0000-0300-00000A000000}"/>
            </a:ext>
          </a:extLst>
        </xdr:cNvPr>
        <xdr:cNvSpPr/>
      </xdr:nvSpPr>
      <xdr:spPr>
        <a:xfrm>
          <a:off x="9564831" y="3354759"/>
          <a:ext cx="2591425" cy="3106715"/>
        </a:xfrm>
        <a:prstGeom prst="roundRect">
          <a:avLst>
            <a:gd name="adj" fmla="val 10470"/>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10</xdr:col>
      <xdr:colOff>134640</xdr:colOff>
      <xdr:row>25</xdr:row>
      <xdr:rowOff>101600</xdr:rowOff>
    </xdr:from>
    <xdr:to>
      <xdr:col>15</xdr:col>
      <xdr:colOff>276008</xdr:colOff>
      <xdr:row>35</xdr:row>
      <xdr:rowOff>46944</xdr:rowOff>
    </xdr:to>
    <xdr:sp macro="" textlink="">
      <xdr:nvSpPr>
        <xdr:cNvPr id="11" name="Rectangle: Rounded Corners 10">
          <a:extLst>
            <a:ext uri="{FF2B5EF4-FFF2-40B4-BE49-F238E27FC236}">
              <a16:creationId xmlns:a16="http://schemas.microsoft.com/office/drawing/2014/main" id="{00000000-0008-0000-0300-00000B000000}"/>
            </a:ext>
          </a:extLst>
        </xdr:cNvPr>
        <xdr:cNvSpPr/>
      </xdr:nvSpPr>
      <xdr:spPr>
        <a:xfrm>
          <a:off x="6230640" y="4673600"/>
          <a:ext cx="3189368" cy="1774144"/>
        </a:xfrm>
        <a:prstGeom prst="roundRect">
          <a:avLst>
            <a:gd name="adj" fmla="val 14041"/>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61378</xdr:colOff>
      <xdr:row>4</xdr:row>
      <xdr:rowOff>147856</xdr:rowOff>
    </xdr:from>
    <xdr:to>
      <xdr:col>15</xdr:col>
      <xdr:colOff>299140</xdr:colOff>
      <xdr:row>11</xdr:row>
      <xdr:rowOff>49761</xdr:rowOff>
    </xdr:to>
    <xdr:sp macro="" textlink="">
      <xdr:nvSpPr>
        <xdr:cNvPr id="12" name="Rectangle: Rounded Corners 11">
          <a:extLst>
            <a:ext uri="{FF2B5EF4-FFF2-40B4-BE49-F238E27FC236}">
              <a16:creationId xmlns:a16="http://schemas.microsoft.com/office/drawing/2014/main" id="{00000000-0008-0000-0300-00000C000000}"/>
            </a:ext>
          </a:extLst>
        </xdr:cNvPr>
        <xdr:cNvSpPr/>
      </xdr:nvSpPr>
      <xdr:spPr>
        <a:xfrm>
          <a:off x="670978" y="879376"/>
          <a:ext cx="8772162" cy="1182065"/>
        </a:xfrm>
        <a:prstGeom prst="roundRect">
          <a:avLst>
            <a:gd name="adj" fmla="val 8836"/>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194804</xdr:colOff>
      <xdr:row>5</xdr:row>
      <xdr:rowOff>45575</xdr:rowOff>
    </xdr:from>
    <xdr:to>
      <xdr:col>4</xdr:col>
      <xdr:colOff>380405</xdr:colOff>
      <xdr:row>10</xdr:row>
      <xdr:rowOff>157284</xdr:rowOff>
    </xdr:to>
    <xdr:sp macro="" textlink="">
      <xdr:nvSpPr>
        <xdr:cNvPr id="14" name="Rectangle: Rounded Corners 13">
          <a:extLst>
            <a:ext uri="{FF2B5EF4-FFF2-40B4-BE49-F238E27FC236}">
              <a16:creationId xmlns:a16="http://schemas.microsoft.com/office/drawing/2014/main" id="{00000000-0008-0000-0300-00000E000000}"/>
            </a:ext>
          </a:extLst>
        </xdr:cNvPr>
        <xdr:cNvSpPr/>
      </xdr:nvSpPr>
      <xdr:spPr>
        <a:xfrm>
          <a:off x="804404" y="959975"/>
          <a:ext cx="2014401" cy="1026109"/>
        </a:xfrm>
        <a:prstGeom prst="roundRect">
          <a:avLst>
            <a:gd name="adj" fmla="val 15565"/>
          </a:avLst>
        </a:prstGeom>
        <a:gradFill>
          <a:gsLst>
            <a:gs pos="0">
              <a:srgbClr val="82CBB9"/>
            </a:gs>
            <a:gs pos="100000">
              <a:srgbClr val="4FA992"/>
            </a:gs>
          </a:gsLst>
          <a:lin ang="2700000" scaled="1"/>
        </a:gradFill>
        <a:ln>
          <a:noFill/>
        </a:ln>
        <a:effectLst>
          <a:outerShdw blurRad="254000" dist="1016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400" b="0" i="0" u="none" strike="noStrike" kern="1200">
              <a:solidFill>
                <a:schemeClr val="bg1"/>
              </a:solidFill>
              <a:effectLst>
                <a:outerShdw blurRad="50800" dist="38100" dir="8100000" algn="tr" rotWithShape="0">
                  <a:prstClr val="black">
                    <a:alpha val="40000"/>
                  </a:prstClr>
                </a:outerShdw>
              </a:effectLst>
              <a:latin typeface="Aptos Narrow"/>
              <a:ea typeface="+mn-ea"/>
              <a:cs typeface="+mn-cs"/>
            </a:rPr>
            <a:t>Total Orders</a:t>
          </a:r>
          <a:endParaRPr lang="ru-RU" sz="2400" kern="1200">
            <a:solidFill>
              <a:schemeClr val="bg1"/>
            </a:solidFill>
            <a:effectLst>
              <a:outerShdw blurRad="50800" dist="38100" dir="8100000" algn="tr" rotWithShape="0">
                <a:prstClr val="black">
                  <a:alpha val="40000"/>
                </a:prstClr>
              </a:outerShdw>
            </a:effectLst>
            <a:latin typeface="+mn-lt"/>
            <a:ea typeface="+mn-ea"/>
            <a:cs typeface="+mn-cs"/>
          </a:endParaRPr>
        </a:p>
      </xdr:txBody>
    </xdr:sp>
    <xdr:clientData/>
  </xdr:twoCellAnchor>
  <xdr:twoCellAnchor>
    <xdr:from>
      <xdr:col>4</xdr:col>
      <xdr:colOff>533284</xdr:colOff>
      <xdr:row>5</xdr:row>
      <xdr:rowOff>45575</xdr:rowOff>
    </xdr:from>
    <xdr:to>
      <xdr:col>8</xdr:col>
      <xdr:colOff>103843</xdr:colOff>
      <xdr:row>10</xdr:row>
      <xdr:rowOff>157284</xdr:rowOff>
    </xdr:to>
    <xdr:sp macro="" textlink="">
      <xdr:nvSpPr>
        <xdr:cNvPr id="15" name="Rectangle: Rounded Corners 14">
          <a:extLst>
            <a:ext uri="{FF2B5EF4-FFF2-40B4-BE49-F238E27FC236}">
              <a16:creationId xmlns:a16="http://schemas.microsoft.com/office/drawing/2014/main" id="{00000000-0008-0000-0300-00000F000000}"/>
            </a:ext>
          </a:extLst>
        </xdr:cNvPr>
        <xdr:cNvSpPr/>
      </xdr:nvSpPr>
      <xdr:spPr>
        <a:xfrm>
          <a:off x="2971684" y="959975"/>
          <a:ext cx="2008959" cy="1026109"/>
        </a:xfrm>
        <a:prstGeom prst="roundRect">
          <a:avLst>
            <a:gd name="adj" fmla="val 15565"/>
          </a:avLst>
        </a:prstGeom>
        <a:gradFill>
          <a:gsLst>
            <a:gs pos="0">
              <a:srgbClr val="609DD4"/>
            </a:gs>
            <a:gs pos="100000">
              <a:srgbClr val="4B89C5"/>
            </a:gs>
          </a:gsLst>
          <a:lin ang="2700000" scaled="1"/>
        </a:gradFill>
        <a:ln w="9525">
          <a:noFill/>
        </a:ln>
        <a:effectLst>
          <a:outerShdw blurRad="254000" dist="1016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400">
              <a:solidFill>
                <a:schemeClr val="bg1"/>
              </a:solidFill>
              <a:effectLst>
                <a:outerShdw blurRad="50800" dist="38100" dir="8100000" algn="tr" rotWithShape="0">
                  <a:prstClr val="black">
                    <a:alpha val="40000"/>
                  </a:prstClr>
                </a:outerShdw>
              </a:effectLst>
              <a:latin typeface="Aptos Narrow"/>
            </a:rPr>
            <a:t>Total Quantity</a:t>
          </a:r>
          <a:endParaRPr lang="ru-RU" sz="1400">
            <a:solidFill>
              <a:schemeClr val="bg1"/>
            </a:solidFill>
            <a:effectLst>
              <a:outerShdw blurRad="50800" dist="38100" dir="8100000" algn="tr" rotWithShape="0">
                <a:prstClr val="black">
                  <a:alpha val="40000"/>
                </a:prstClr>
              </a:outerShdw>
            </a:effectLst>
            <a:latin typeface="Aptos Narrow"/>
          </a:endParaRPr>
        </a:p>
      </xdr:txBody>
    </xdr:sp>
    <xdr:clientData/>
  </xdr:twoCellAnchor>
  <xdr:twoCellAnchor>
    <xdr:from>
      <xdr:col>8</xdr:col>
      <xdr:colOff>256722</xdr:colOff>
      <xdr:row>5</xdr:row>
      <xdr:rowOff>45575</xdr:rowOff>
    </xdr:from>
    <xdr:to>
      <xdr:col>11</xdr:col>
      <xdr:colOff>442323</xdr:colOff>
      <xdr:row>10</xdr:row>
      <xdr:rowOff>157284</xdr:rowOff>
    </xdr:to>
    <xdr:sp macro="" textlink="">
      <xdr:nvSpPr>
        <xdr:cNvPr id="16" name="Rectangle: Rounded Corners 15">
          <a:extLst>
            <a:ext uri="{FF2B5EF4-FFF2-40B4-BE49-F238E27FC236}">
              <a16:creationId xmlns:a16="http://schemas.microsoft.com/office/drawing/2014/main" id="{00000000-0008-0000-0300-000010000000}"/>
            </a:ext>
          </a:extLst>
        </xdr:cNvPr>
        <xdr:cNvSpPr/>
      </xdr:nvSpPr>
      <xdr:spPr>
        <a:xfrm>
          <a:off x="5133522" y="959975"/>
          <a:ext cx="2014401" cy="1026109"/>
        </a:xfrm>
        <a:prstGeom prst="roundRect">
          <a:avLst>
            <a:gd name="adj" fmla="val 15565"/>
          </a:avLst>
        </a:prstGeom>
        <a:gradFill>
          <a:gsLst>
            <a:gs pos="0">
              <a:srgbClr val="60B0BE"/>
            </a:gs>
            <a:gs pos="100000">
              <a:srgbClr val="4192AE"/>
            </a:gs>
          </a:gsLst>
          <a:lin ang="2700000" scaled="1"/>
        </a:gradFill>
        <a:ln w="9525">
          <a:noFill/>
        </a:ln>
        <a:effectLst>
          <a:outerShdw blurRad="254000" dist="1016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400">
              <a:solidFill>
                <a:schemeClr val="bg1"/>
              </a:solidFill>
              <a:effectLst>
                <a:outerShdw blurRad="50800" dist="38100" dir="10800000" algn="r" rotWithShape="0">
                  <a:prstClr val="black">
                    <a:alpha val="40000"/>
                  </a:prstClr>
                </a:outerShdw>
              </a:effectLst>
              <a:latin typeface="Aptos Narrow"/>
            </a:rPr>
            <a:t>Total Cost</a:t>
          </a:r>
          <a:endParaRPr lang="ru-RU" sz="1400">
            <a:solidFill>
              <a:schemeClr val="bg1"/>
            </a:solidFill>
            <a:effectLst>
              <a:outerShdw blurRad="50800" dist="38100" dir="10800000" algn="r" rotWithShape="0">
                <a:prstClr val="black">
                  <a:alpha val="40000"/>
                </a:prstClr>
              </a:outerShdw>
            </a:effectLst>
            <a:latin typeface="Aptos Narrow"/>
          </a:endParaRPr>
        </a:p>
      </xdr:txBody>
    </xdr:sp>
    <xdr:clientData/>
  </xdr:twoCellAnchor>
  <xdr:twoCellAnchor>
    <xdr:from>
      <xdr:col>11</xdr:col>
      <xdr:colOff>595201</xdr:colOff>
      <xdr:row>5</xdr:row>
      <xdr:rowOff>45575</xdr:rowOff>
    </xdr:from>
    <xdr:to>
      <xdr:col>15</xdr:col>
      <xdr:colOff>165760</xdr:colOff>
      <xdr:row>10</xdr:row>
      <xdr:rowOff>157284</xdr:rowOff>
    </xdr:to>
    <xdr:sp macro="" textlink="">
      <xdr:nvSpPr>
        <xdr:cNvPr id="17" name="Rectangle: Rounded Corners 16">
          <a:extLst>
            <a:ext uri="{FF2B5EF4-FFF2-40B4-BE49-F238E27FC236}">
              <a16:creationId xmlns:a16="http://schemas.microsoft.com/office/drawing/2014/main" id="{00000000-0008-0000-0300-000011000000}"/>
            </a:ext>
          </a:extLst>
        </xdr:cNvPr>
        <xdr:cNvSpPr/>
      </xdr:nvSpPr>
      <xdr:spPr>
        <a:xfrm>
          <a:off x="7300801" y="959975"/>
          <a:ext cx="2008959" cy="1026109"/>
        </a:xfrm>
        <a:prstGeom prst="roundRect">
          <a:avLst>
            <a:gd name="adj" fmla="val 15565"/>
          </a:avLst>
        </a:prstGeom>
        <a:solidFill>
          <a:srgbClr val="9EB0C9"/>
        </a:solidFill>
        <a:ln>
          <a:noFill/>
        </a:ln>
        <a:effectLst>
          <a:outerShdw blurRad="254000" dist="101600" dir="5400000" algn="t"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400" b="0" i="0" u="none" strike="noStrike" kern="1200">
              <a:solidFill>
                <a:schemeClr val="bg1"/>
              </a:solidFill>
              <a:effectLst>
                <a:outerShdw blurRad="50800" dist="38100" dir="8100000" algn="tr" rotWithShape="0">
                  <a:prstClr val="black">
                    <a:alpha val="40000"/>
                  </a:prstClr>
                </a:outerShdw>
              </a:effectLst>
              <a:latin typeface="Aptos Narrow"/>
              <a:ea typeface="+mn-ea"/>
              <a:cs typeface="+mn-cs"/>
            </a:rPr>
            <a:t>Avg Delay Days</a:t>
          </a:r>
          <a:endParaRPr lang="ru-RU" sz="2400" kern="1200">
            <a:solidFill>
              <a:schemeClr val="bg1"/>
            </a:solidFill>
            <a:effectLst>
              <a:outerShdw blurRad="50800" dist="38100" dir="8100000" algn="tr" rotWithShape="0">
                <a:prstClr val="black">
                  <a:alpha val="40000"/>
                </a:prstClr>
              </a:outerShdw>
            </a:effectLst>
            <a:latin typeface="+mn-lt"/>
            <a:ea typeface="+mn-ea"/>
            <a:cs typeface="+mn-cs"/>
          </a:endParaRPr>
        </a:p>
      </xdr:txBody>
    </xdr:sp>
    <xdr:clientData/>
  </xdr:twoCellAnchor>
  <xdr:twoCellAnchor>
    <xdr:from>
      <xdr:col>10</xdr:col>
      <xdr:colOff>234545</xdr:colOff>
      <xdr:row>12</xdr:row>
      <xdr:rowOff>2754</xdr:rowOff>
    </xdr:from>
    <xdr:to>
      <xdr:col>15</xdr:col>
      <xdr:colOff>295467</xdr:colOff>
      <xdr:row>25</xdr:row>
      <xdr:rowOff>12700</xdr:rowOff>
    </xdr:to>
    <xdr:sp macro="" textlink="">
      <xdr:nvSpPr>
        <xdr:cNvPr id="18" name="Rectangle: Rounded Corners 17">
          <a:extLst>
            <a:ext uri="{FF2B5EF4-FFF2-40B4-BE49-F238E27FC236}">
              <a16:creationId xmlns:a16="http://schemas.microsoft.com/office/drawing/2014/main" id="{00000000-0008-0000-0300-000012000000}"/>
            </a:ext>
          </a:extLst>
        </xdr:cNvPr>
        <xdr:cNvSpPr/>
      </xdr:nvSpPr>
      <xdr:spPr>
        <a:xfrm>
          <a:off x="6330545" y="2197314"/>
          <a:ext cx="3108922" cy="2387386"/>
        </a:xfrm>
        <a:prstGeom prst="roundRect">
          <a:avLst>
            <a:gd name="adj" fmla="val 11479"/>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editAs="oneCell">
    <xdr:from>
      <xdr:col>17</xdr:col>
      <xdr:colOff>436594</xdr:colOff>
      <xdr:row>1</xdr:row>
      <xdr:rowOff>60083</xdr:rowOff>
    </xdr:from>
    <xdr:to>
      <xdr:col>19</xdr:col>
      <xdr:colOff>609177</xdr:colOff>
      <xdr:row>3</xdr:row>
      <xdr:rowOff>116099</xdr:rowOff>
    </xdr:to>
    <mc:AlternateContent xmlns:mc="http://schemas.openxmlformats.org/markup-compatibility/2006" xmlns:a14="http://schemas.microsoft.com/office/drawing/2010/main">
      <mc:Choice Requires="a14">
        <xdr:graphicFrame macro="">
          <xdr:nvGraphicFramePr>
            <xdr:cNvPr id="20" name="Years (Order_Date) 3">
              <a:extLst>
                <a:ext uri="{FF2B5EF4-FFF2-40B4-BE49-F238E27FC236}">
                  <a16:creationId xmlns:a16="http://schemas.microsoft.com/office/drawing/2014/main" id="{00000000-0008-0000-0300-000014000000}"/>
                </a:ext>
              </a:extLst>
            </xdr:cNvPr>
            <xdr:cNvGraphicFramePr/>
          </xdr:nvGraphicFramePr>
          <xdr:xfrm>
            <a:off x="0" y="0"/>
            <a:ext cx="0" cy="0"/>
          </xdr:xfrm>
          <a:graphic>
            <a:graphicData uri="http://schemas.microsoft.com/office/drawing/2010/slicer">
              <sle:slicer xmlns:sle="http://schemas.microsoft.com/office/drawing/2010/slicer" name="Years (Order_Date) 3"/>
            </a:graphicData>
          </a:graphic>
        </xdr:graphicFrame>
      </mc:Choice>
      <mc:Fallback xmlns="">
        <xdr:sp macro="" textlink="">
          <xdr:nvSpPr>
            <xdr:cNvPr id="0" name=""/>
            <xdr:cNvSpPr>
              <a:spLocks noTextEdit="1"/>
            </xdr:cNvSpPr>
          </xdr:nvSpPr>
          <xdr:spPr>
            <a:xfrm>
              <a:off x="10846058" y="243779"/>
              <a:ext cx="1397226" cy="4234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12857</xdr:colOff>
      <xdr:row>1</xdr:row>
      <xdr:rowOff>93560</xdr:rowOff>
    </xdr:from>
    <xdr:to>
      <xdr:col>5</xdr:col>
      <xdr:colOff>498378</xdr:colOff>
      <xdr:row>3</xdr:row>
      <xdr:rowOff>82622</xdr:rowOff>
    </xdr:to>
    <xdr:sp macro="" textlink="">
      <xdr:nvSpPr>
        <xdr:cNvPr id="21" name="TextBox 158">
          <a:extLst>
            <a:ext uri="{FF2B5EF4-FFF2-40B4-BE49-F238E27FC236}">
              <a16:creationId xmlns:a16="http://schemas.microsoft.com/office/drawing/2014/main" id="{00000000-0008-0000-0300-000015000000}"/>
            </a:ext>
          </a:extLst>
        </xdr:cNvPr>
        <xdr:cNvSpPr txBox="1"/>
      </xdr:nvSpPr>
      <xdr:spPr>
        <a:xfrm>
          <a:off x="622457" y="276440"/>
          <a:ext cx="2923921" cy="354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2100" b="1">
              <a:solidFill>
                <a:srgbClr val="BFFAFF"/>
              </a:solidFill>
            </a:rPr>
            <a:t>Supply Chain Dashboard</a:t>
          </a:r>
          <a:endParaRPr lang="ru-RU" sz="2100" b="1">
            <a:solidFill>
              <a:srgbClr val="BFFAFF"/>
            </a:solidFill>
          </a:endParaRPr>
        </a:p>
      </xdr:txBody>
    </xdr:sp>
    <xdr:clientData/>
  </xdr:twoCellAnchor>
  <xdr:twoCellAnchor>
    <xdr:from>
      <xdr:col>15</xdr:col>
      <xdr:colOff>36797</xdr:colOff>
      <xdr:row>1</xdr:row>
      <xdr:rowOff>85619</xdr:rowOff>
    </xdr:from>
    <xdr:to>
      <xdr:col>17</xdr:col>
      <xdr:colOff>113788</xdr:colOff>
      <xdr:row>3</xdr:row>
      <xdr:rowOff>90562</xdr:rowOff>
    </xdr:to>
    <xdr:sp macro="" textlink="">
      <xdr:nvSpPr>
        <xdr:cNvPr id="22" name="Rectangle: Rounded Corners 21">
          <a:extLst>
            <a:ext uri="{FF2B5EF4-FFF2-40B4-BE49-F238E27FC236}">
              <a16:creationId xmlns:a16="http://schemas.microsoft.com/office/drawing/2014/main" id="{00000000-0008-0000-0300-000016000000}"/>
            </a:ext>
          </a:extLst>
        </xdr:cNvPr>
        <xdr:cNvSpPr/>
      </xdr:nvSpPr>
      <xdr:spPr>
        <a:xfrm>
          <a:off x="9180797" y="268499"/>
          <a:ext cx="1296191" cy="370703"/>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rgbClr val="BEFBFF"/>
              </a:solidFill>
              <a:effectLst/>
              <a:latin typeface="+mn-lt"/>
              <a:ea typeface="+mn-ea"/>
              <a:cs typeface="+mn-cs"/>
            </a:rPr>
            <a:t>Insights</a:t>
          </a:r>
          <a:endParaRPr lang="ru-RU" sz="1050" b="0" kern="1200">
            <a:solidFill>
              <a:srgbClr val="BEFBFF"/>
            </a:solidFill>
            <a:latin typeface="+mn-lt"/>
            <a:ea typeface="+mn-ea"/>
            <a:cs typeface="+mn-cs"/>
          </a:endParaRPr>
        </a:p>
      </xdr:txBody>
    </xdr:sp>
    <xdr:clientData/>
  </xdr:twoCellAnchor>
  <xdr:twoCellAnchor>
    <xdr:from>
      <xdr:col>10</xdr:col>
      <xdr:colOff>219074</xdr:colOff>
      <xdr:row>12</xdr:row>
      <xdr:rowOff>36729</xdr:rowOff>
    </xdr:from>
    <xdr:to>
      <xdr:col>13</xdr:col>
      <xdr:colOff>455839</xdr:colOff>
      <xdr:row>13</xdr:row>
      <xdr:rowOff>115660</xdr:rowOff>
    </xdr:to>
    <xdr:sp macro="" textlink="Processing!A39">
      <xdr:nvSpPr>
        <xdr:cNvPr id="47" name="TextBox 46">
          <a:extLst>
            <a:ext uri="{FF2B5EF4-FFF2-40B4-BE49-F238E27FC236}">
              <a16:creationId xmlns:a16="http://schemas.microsoft.com/office/drawing/2014/main" id="{00000000-0008-0000-0300-00002F000000}"/>
            </a:ext>
          </a:extLst>
        </xdr:cNvPr>
        <xdr:cNvSpPr txBox="1"/>
      </xdr:nvSpPr>
      <xdr:spPr>
        <a:xfrm>
          <a:off x="6342288" y="2241086"/>
          <a:ext cx="2073730" cy="262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87E5470-EEEF-4B1D-B10A-4921A56DC9B5}" type="TxLink">
            <a:rPr lang="en-US" sz="1600" b="1" i="0" u="none" strike="noStrike">
              <a:solidFill>
                <a:srgbClr val="0F4672"/>
              </a:solidFill>
              <a:latin typeface="Aptos Narrow"/>
              <a:ea typeface="+mn-ea"/>
              <a:cs typeface="+mn-cs"/>
            </a:rPr>
            <a:pPr marL="0" indent="0" algn="ctr"/>
            <a:t>Country by Total Cost</a:t>
          </a:fld>
          <a:endParaRPr lang="ru-RU" sz="1600" b="1" i="0" u="none" strike="noStrike">
            <a:solidFill>
              <a:srgbClr val="0F4672"/>
            </a:solidFill>
            <a:latin typeface="Aptos Narrow"/>
            <a:ea typeface="+mn-ea"/>
            <a:cs typeface="+mn-cs"/>
          </a:endParaRPr>
        </a:p>
      </xdr:txBody>
    </xdr:sp>
    <xdr:clientData/>
  </xdr:twoCellAnchor>
  <xdr:twoCellAnchor>
    <xdr:from>
      <xdr:col>15</xdr:col>
      <xdr:colOff>142876</xdr:colOff>
      <xdr:row>5</xdr:row>
      <xdr:rowOff>23312</xdr:rowOff>
    </xdr:from>
    <xdr:to>
      <xdr:col>19</xdr:col>
      <xdr:colOff>145023</xdr:colOff>
      <xdr:row>6</xdr:row>
      <xdr:rowOff>122465</xdr:rowOff>
    </xdr:to>
    <xdr:sp macro="" textlink="Processing!A51">
      <xdr:nvSpPr>
        <xdr:cNvPr id="53" name="TextBox 52">
          <a:extLst>
            <a:ext uri="{FF2B5EF4-FFF2-40B4-BE49-F238E27FC236}">
              <a16:creationId xmlns:a16="http://schemas.microsoft.com/office/drawing/2014/main" id="{00000000-0008-0000-0300-000035000000}"/>
            </a:ext>
          </a:extLst>
        </xdr:cNvPr>
        <xdr:cNvSpPr txBox="1"/>
      </xdr:nvSpPr>
      <xdr:spPr>
        <a:xfrm>
          <a:off x="9327697" y="941794"/>
          <a:ext cx="2451433" cy="282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92A881C-35DF-4600-84AE-4CA4F5300246}" type="TxLink">
            <a:rPr lang="en-US" sz="1400" b="1" i="0" u="none" strike="noStrike">
              <a:solidFill>
                <a:srgbClr val="0F4672"/>
              </a:solidFill>
              <a:latin typeface="Aptos Narrow"/>
              <a:ea typeface="+mn-ea"/>
              <a:cs typeface="+mn-cs"/>
            </a:rPr>
            <a:pPr marL="0" indent="0" algn="ctr"/>
            <a:t>Warehouse by Orders</a:t>
          </a:fld>
          <a:endParaRPr lang="ru-RU" sz="1400" b="1" i="0" u="none" strike="noStrike">
            <a:solidFill>
              <a:srgbClr val="0F4672"/>
            </a:solidFill>
            <a:latin typeface="Aptos Narrow"/>
            <a:ea typeface="+mn-ea"/>
            <a:cs typeface="+mn-cs"/>
          </a:endParaRPr>
        </a:p>
      </xdr:txBody>
    </xdr:sp>
    <xdr:clientData/>
  </xdr:twoCellAnchor>
  <xdr:twoCellAnchor>
    <xdr:from>
      <xdr:col>16</xdr:col>
      <xdr:colOff>60179</xdr:colOff>
      <xdr:row>19</xdr:row>
      <xdr:rowOff>13983</xdr:rowOff>
    </xdr:from>
    <xdr:to>
      <xdr:col>19</xdr:col>
      <xdr:colOff>355476</xdr:colOff>
      <xdr:row>30</xdr:row>
      <xdr:rowOff>130389</xdr:rowOff>
    </xdr:to>
    <xdr:graphicFrame macro="">
      <xdr:nvGraphicFramePr>
        <xdr:cNvPr id="54" name="Chart 53">
          <a:extLst>
            <a:ext uri="{FF2B5EF4-FFF2-40B4-BE49-F238E27FC236}">
              <a16:creationId xmlns:a16="http://schemas.microsoft.com/office/drawing/2014/main" id="{00000000-0008-0000-0300-00003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33892</xdr:colOff>
      <xdr:row>22</xdr:row>
      <xdr:rowOff>50612</xdr:rowOff>
    </xdr:from>
    <xdr:to>
      <xdr:col>18</xdr:col>
      <xdr:colOff>381766</xdr:colOff>
      <xdr:row>27</xdr:row>
      <xdr:rowOff>93761</xdr:rowOff>
    </xdr:to>
    <xdr:sp macro="" textlink="">
      <xdr:nvSpPr>
        <xdr:cNvPr id="55" name="Oval 54">
          <a:extLst>
            <a:ext uri="{FF2B5EF4-FFF2-40B4-BE49-F238E27FC236}">
              <a16:creationId xmlns:a16="http://schemas.microsoft.com/office/drawing/2014/main" id="{00000000-0008-0000-0300-000037000000}"/>
            </a:ext>
          </a:extLst>
        </xdr:cNvPr>
        <xdr:cNvSpPr/>
      </xdr:nvSpPr>
      <xdr:spPr>
        <a:xfrm>
          <a:off x="10397092" y="4073972"/>
          <a:ext cx="957474" cy="957549"/>
        </a:xfrm>
        <a:prstGeom prst="ellipse">
          <a:avLst/>
        </a:prstGeom>
        <a:solidFill>
          <a:srgbClr val="F4F5FC"/>
        </a:solidFill>
        <a:ln>
          <a:solidFill>
            <a:schemeClr val="bg1"/>
          </a:solidFill>
        </a:ln>
        <a:effectLst>
          <a:outerShdw blurRad="190500" dist="25400" sx="105000" sy="105000" algn="ctr"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200" kern="1200">
            <a:solidFill>
              <a:srgbClr val="747FA4"/>
            </a:solidFill>
            <a:ea typeface="+mn-ea"/>
            <a:cs typeface="+mn-cs"/>
          </a:endParaRPr>
        </a:p>
      </xdr:txBody>
    </xdr:sp>
    <xdr:clientData/>
  </xdr:twoCellAnchor>
  <xdr:twoCellAnchor>
    <xdr:from>
      <xdr:col>17</xdr:col>
      <xdr:colOff>69044</xdr:colOff>
      <xdr:row>23</xdr:row>
      <xdr:rowOff>79499</xdr:rowOff>
    </xdr:from>
    <xdr:to>
      <xdr:col>18</xdr:col>
      <xdr:colOff>346614</xdr:colOff>
      <xdr:row>26</xdr:row>
      <xdr:rowOff>64873</xdr:rowOff>
    </xdr:to>
    <xdr:sp macro="" textlink="Processing!B63">
      <xdr:nvSpPr>
        <xdr:cNvPr id="56" name="TextBox 20">
          <a:extLst>
            <a:ext uri="{FF2B5EF4-FFF2-40B4-BE49-F238E27FC236}">
              <a16:creationId xmlns:a16="http://schemas.microsoft.com/office/drawing/2014/main" id="{00000000-0008-0000-0300-000038000000}"/>
            </a:ext>
          </a:extLst>
        </xdr:cNvPr>
        <xdr:cNvSpPr txBox="1"/>
      </xdr:nvSpPr>
      <xdr:spPr>
        <a:xfrm>
          <a:off x="10432244" y="4285739"/>
          <a:ext cx="887170" cy="534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8ECD8CF9-9CD6-4582-9584-FE80D87620F5}" type="TxLink">
            <a:rPr lang="en-US" sz="2800" b="1" i="0" u="none" strike="noStrike">
              <a:solidFill>
                <a:schemeClr val="tx1"/>
              </a:solidFill>
              <a:latin typeface="Aptos Narrow"/>
              <a:ea typeface="+mn-ea"/>
              <a:cs typeface="+mn-cs"/>
            </a:rPr>
            <a:pPr marL="0" indent="0" algn="ctr" defTabSz="914400" rtl="0" eaLnBrk="1" latinLnBrk="0" hangingPunct="1"/>
            <a:t>103</a:t>
          </a:fld>
          <a:endParaRPr lang="ru-RU" sz="2800" b="1" i="0" u="none" strike="noStrike">
            <a:solidFill>
              <a:schemeClr val="tx1"/>
            </a:solidFill>
            <a:latin typeface="Aptos Narrow"/>
            <a:ea typeface="+mn-ea"/>
            <a:cs typeface="+mn-cs"/>
          </a:endParaRPr>
        </a:p>
      </xdr:txBody>
    </xdr:sp>
    <xdr:clientData/>
  </xdr:twoCellAnchor>
  <xdr:twoCellAnchor>
    <xdr:from>
      <xdr:col>16</xdr:col>
      <xdr:colOff>5091</xdr:colOff>
      <xdr:row>30</xdr:row>
      <xdr:rowOff>49837</xdr:rowOff>
    </xdr:from>
    <xdr:to>
      <xdr:col>17</xdr:col>
      <xdr:colOff>352106</xdr:colOff>
      <xdr:row>35</xdr:row>
      <xdr:rowOff>22814</xdr:rowOff>
    </xdr:to>
    <xdr:grpSp>
      <xdr:nvGrpSpPr>
        <xdr:cNvPr id="57" name="Group 56">
          <a:extLst>
            <a:ext uri="{FF2B5EF4-FFF2-40B4-BE49-F238E27FC236}">
              <a16:creationId xmlns:a16="http://schemas.microsoft.com/office/drawing/2014/main" id="{00000000-0008-0000-0300-000039000000}"/>
            </a:ext>
          </a:extLst>
        </xdr:cNvPr>
        <xdr:cNvGrpSpPr/>
      </xdr:nvGrpSpPr>
      <xdr:grpSpPr>
        <a:xfrm>
          <a:off x="9802234" y="5560730"/>
          <a:ext cx="959336" cy="891459"/>
          <a:chOff x="9706544" y="5502681"/>
          <a:chExt cx="951096" cy="881784"/>
        </a:xfrm>
      </xdr:grpSpPr>
      <xdr:sp macro="" textlink="Processing!A59">
        <xdr:nvSpPr>
          <xdr:cNvPr id="58" name="TextBox 57">
            <a:extLst>
              <a:ext uri="{FF2B5EF4-FFF2-40B4-BE49-F238E27FC236}">
                <a16:creationId xmlns:a16="http://schemas.microsoft.com/office/drawing/2014/main" id="{00000000-0008-0000-0300-00003A000000}"/>
              </a:ext>
            </a:extLst>
          </xdr:cNvPr>
          <xdr:cNvSpPr txBox="1"/>
        </xdr:nvSpPr>
        <xdr:spPr>
          <a:xfrm>
            <a:off x="9746036" y="5502681"/>
            <a:ext cx="911604" cy="214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26008EC-D7D6-48DD-A76E-495AE30E013B}" type="TxLink">
              <a:rPr lang="en-US" sz="1000" b="0" i="0" u="none" strike="noStrike">
                <a:solidFill>
                  <a:srgbClr val="747FA4"/>
                </a:solidFill>
                <a:latin typeface="Aptos Narrow"/>
                <a:ea typeface="+mn-ea"/>
                <a:cs typeface="+mn-cs"/>
              </a:rPr>
              <a:pPr marL="0" indent="0" algn="l"/>
              <a:t>Air</a:t>
            </a:fld>
            <a:endParaRPr lang="ru-RU" sz="1000" b="0" i="0" u="none" strike="noStrike">
              <a:solidFill>
                <a:srgbClr val="747FA4"/>
              </a:solidFill>
              <a:latin typeface="Aptos Narrow"/>
              <a:ea typeface="+mn-ea"/>
              <a:cs typeface="+mn-cs"/>
            </a:endParaRPr>
          </a:p>
        </xdr:txBody>
      </xdr:sp>
      <xdr:sp macro="" textlink="Processing!A60">
        <xdr:nvSpPr>
          <xdr:cNvPr id="59" name="TextBox 58">
            <a:extLst>
              <a:ext uri="{FF2B5EF4-FFF2-40B4-BE49-F238E27FC236}">
                <a16:creationId xmlns:a16="http://schemas.microsoft.com/office/drawing/2014/main" id="{00000000-0008-0000-0300-00003B000000}"/>
              </a:ext>
            </a:extLst>
          </xdr:cNvPr>
          <xdr:cNvSpPr txBox="1"/>
        </xdr:nvSpPr>
        <xdr:spPr>
          <a:xfrm>
            <a:off x="9746036" y="5724561"/>
            <a:ext cx="911604" cy="214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D907881-E34B-4394-9802-55FFC1695AD3}" type="TxLink">
              <a:rPr lang="en-US" sz="1000" b="0" i="0" u="none" strike="noStrike">
                <a:solidFill>
                  <a:srgbClr val="747FA4"/>
                </a:solidFill>
                <a:latin typeface="Aptos Narrow"/>
                <a:ea typeface="+mn-ea"/>
                <a:cs typeface="+mn-cs"/>
              </a:rPr>
              <a:pPr marL="0" indent="0" algn="l"/>
              <a:t>Rail</a:t>
            </a:fld>
            <a:endParaRPr lang="ru-RU" sz="1000" b="0" i="0" u="none" strike="noStrike">
              <a:solidFill>
                <a:srgbClr val="747FA4"/>
              </a:solidFill>
              <a:latin typeface="Aptos Narrow"/>
              <a:ea typeface="+mn-ea"/>
              <a:cs typeface="+mn-cs"/>
            </a:endParaRPr>
          </a:p>
        </xdr:txBody>
      </xdr:sp>
      <xdr:sp macro="" textlink="Processing!A61">
        <xdr:nvSpPr>
          <xdr:cNvPr id="60" name="TextBox 59">
            <a:extLst>
              <a:ext uri="{FF2B5EF4-FFF2-40B4-BE49-F238E27FC236}">
                <a16:creationId xmlns:a16="http://schemas.microsoft.com/office/drawing/2014/main" id="{00000000-0008-0000-0300-00003C000000}"/>
              </a:ext>
            </a:extLst>
          </xdr:cNvPr>
          <xdr:cNvSpPr txBox="1"/>
        </xdr:nvSpPr>
        <xdr:spPr>
          <a:xfrm>
            <a:off x="9746036" y="5946440"/>
            <a:ext cx="911604" cy="214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633E608-06C9-462D-B5FB-649842A43D42}" type="TxLink">
              <a:rPr lang="en-US" sz="1000" b="0" i="0" u="none" strike="noStrike">
                <a:solidFill>
                  <a:srgbClr val="747FA4"/>
                </a:solidFill>
                <a:latin typeface="Aptos Narrow"/>
                <a:ea typeface="+mn-ea"/>
                <a:cs typeface="+mn-cs"/>
              </a:rPr>
              <a:pPr marL="0" indent="0" algn="l"/>
              <a:t>Road</a:t>
            </a:fld>
            <a:endParaRPr lang="ru-RU" sz="1000" b="0" i="0" u="none" strike="noStrike">
              <a:solidFill>
                <a:srgbClr val="747FA4"/>
              </a:solidFill>
              <a:latin typeface="Aptos Narrow"/>
              <a:ea typeface="+mn-ea"/>
              <a:cs typeface="+mn-cs"/>
            </a:endParaRPr>
          </a:p>
        </xdr:txBody>
      </xdr:sp>
      <xdr:sp macro="" textlink="Processing!A62">
        <xdr:nvSpPr>
          <xdr:cNvPr id="61" name="TextBox 60">
            <a:extLst>
              <a:ext uri="{FF2B5EF4-FFF2-40B4-BE49-F238E27FC236}">
                <a16:creationId xmlns:a16="http://schemas.microsoft.com/office/drawing/2014/main" id="{00000000-0008-0000-0300-00003D000000}"/>
              </a:ext>
            </a:extLst>
          </xdr:cNvPr>
          <xdr:cNvSpPr txBox="1"/>
        </xdr:nvSpPr>
        <xdr:spPr>
          <a:xfrm>
            <a:off x="9746036" y="6168319"/>
            <a:ext cx="911604" cy="216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684F37C-C0B5-4BCA-925A-294CBD04431B}" type="TxLink">
              <a:rPr lang="en-US" sz="1000" b="0" i="0" u="none" strike="noStrike">
                <a:solidFill>
                  <a:srgbClr val="747FA4"/>
                </a:solidFill>
                <a:latin typeface="Aptos Narrow"/>
                <a:ea typeface="+mn-ea"/>
                <a:cs typeface="+mn-cs"/>
              </a:rPr>
              <a:pPr marL="0" indent="0" algn="l"/>
              <a:t>Sea</a:t>
            </a:fld>
            <a:endParaRPr lang="ru-RU" sz="1000" b="0" i="0" u="none" strike="noStrike">
              <a:solidFill>
                <a:srgbClr val="747FA4"/>
              </a:solidFill>
              <a:latin typeface="Aptos Narrow"/>
              <a:ea typeface="+mn-ea"/>
              <a:cs typeface="+mn-cs"/>
            </a:endParaRPr>
          </a:p>
        </xdr:txBody>
      </xdr:sp>
      <xdr:sp macro="" textlink="">
        <xdr:nvSpPr>
          <xdr:cNvPr id="62" name="Oval 61">
            <a:extLst>
              <a:ext uri="{FF2B5EF4-FFF2-40B4-BE49-F238E27FC236}">
                <a16:creationId xmlns:a16="http://schemas.microsoft.com/office/drawing/2014/main" id="{00000000-0008-0000-0300-00003E000000}"/>
              </a:ext>
            </a:extLst>
          </xdr:cNvPr>
          <xdr:cNvSpPr/>
        </xdr:nvSpPr>
        <xdr:spPr>
          <a:xfrm>
            <a:off x="9706544" y="5551483"/>
            <a:ext cx="117474" cy="119205"/>
          </a:xfrm>
          <a:prstGeom prst="ellipse">
            <a:avLst/>
          </a:prstGeom>
          <a:solidFill>
            <a:srgbClr val="3B43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3" name="Oval 62">
            <a:extLst>
              <a:ext uri="{FF2B5EF4-FFF2-40B4-BE49-F238E27FC236}">
                <a16:creationId xmlns:a16="http://schemas.microsoft.com/office/drawing/2014/main" id="{00000000-0008-0000-0300-00003F000000}"/>
              </a:ext>
            </a:extLst>
          </xdr:cNvPr>
          <xdr:cNvSpPr/>
        </xdr:nvSpPr>
        <xdr:spPr>
          <a:xfrm>
            <a:off x="9706544" y="5773400"/>
            <a:ext cx="117474" cy="119204"/>
          </a:xfrm>
          <a:prstGeom prst="ellipse">
            <a:avLst/>
          </a:prstGeom>
          <a:solidFill>
            <a:srgbClr val="5882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144" name="Oval 6143">
            <a:extLst>
              <a:ext uri="{FF2B5EF4-FFF2-40B4-BE49-F238E27FC236}">
                <a16:creationId xmlns:a16="http://schemas.microsoft.com/office/drawing/2014/main" id="{00000000-0008-0000-0300-000000180000}"/>
              </a:ext>
            </a:extLst>
          </xdr:cNvPr>
          <xdr:cNvSpPr/>
        </xdr:nvSpPr>
        <xdr:spPr>
          <a:xfrm>
            <a:off x="9706544" y="5995316"/>
            <a:ext cx="117474" cy="119206"/>
          </a:xfrm>
          <a:prstGeom prst="ellipse">
            <a:avLst/>
          </a:prstGeom>
          <a:solidFill>
            <a:srgbClr val="01EF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146" name="Oval 6145">
            <a:extLst>
              <a:ext uri="{FF2B5EF4-FFF2-40B4-BE49-F238E27FC236}">
                <a16:creationId xmlns:a16="http://schemas.microsoft.com/office/drawing/2014/main" id="{00000000-0008-0000-0300-000002180000}"/>
              </a:ext>
            </a:extLst>
          </xdr:cNvPr>
          <xdr:cNvSpPr/>
        </xdr:nvSpPr>
        <xdr:spPr>
          <a:xfrm>
            <a:off x="9706544" y="6216116"/>
            <a:ext cx="117474" cy="118872"/>
          </a:xfrm>
          <a:prstGeom prst="ellipse">
            <a:avLst/>
          </a:prstGeom>
          <a:solidFill>
            <a:srgbClr val="29A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18</xdr:col>
      <xdr:colOff>437307</xdr:colOff>
      <xdr:row>30</xdr:row>
      <xdr:rowOff>70810</xdr:rowOff>
    </xdr:from>
    <xdr:to>
      <xdr:col>19</xdr:col>
      <xdr:colOff>384848</xdr:colOff>
      <xdr:row>35</xdr:row>
      <xdr:rowOff>43787</xdr:rowOff>
    </xdr:to>
    <xdr:grpSp>
      <xdr:nvGrpSpPr>
        <xdr:cNvPr id="6147" name="Group 6146">
          <a:extLst>
            <a:ext uri="{FF2B5EF4-FFF2-40B4-BE49-F238E27FC236}">
              <a16:creationId xmlns:a16="http://schemas.microsoft.com/office/drawing/2014/main" id="{00000000-0008-0000-0300-000003180000}"/>
            </a:ext>
          </a:extLst>
        </xdr:cNvPr>
        <xdr:cNvGrpSpPr/>
      </xdr:nvGrpSpPr>
      <xdr:grpSpPr>
        <a:xfrm>
          <a:off x="11459093" y="5581703"/>
          <a:ext cx="559862" cy="891459"/>
          <a:chOff x="10281447" y="5523654"/>
          <a:chExt cx="555743" cy="881784"/>
        </a:xfrm>
      </xdr:grpSpPr>
      <xdr:sp macro="" textlink="Processing!B59">
        <xdr:nvSpPr>
          <xdr:cNvPr id="6148" name="TextBox 6147">
            <a:extLst>
              <a:ext uri="{FF2B5EF4-FFF2-40B4-BE49-F238E27FC236}">
                <a16:creationId xmlns:a16="http://schemas.microsoft.com/office/drawing/2014/main" id="{00000000-0008-0000-0300-000004180000}"/>
              </a:ext>
            </a:extLst>
          </xdr:cNvPr>
          <xdr:cNvSpPr txBox="1"/>
        </xdr:nvSpPr>
        <xdr:spPr>
          <a:xfrm>
            <a:off x="10281447" y="5523654"/>
            <a:ext cx="555743" cy="214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758AA94-2F36-42C2-A1F6-42632D0F4FB4}" type="TxLink">
              <a:rPr lang="en-US" sz="1100" b="0" i="0" u="none" strike="noStrike">
                <a:solidFill>
                  <a:srgbClr val="003264"/>
                </a:solidFill>
                <a:latin typeface="Aptos Narrow"/>
                <a:ea typeface="+mn-ea"/>
                <a:cs typeface="+mn-cs"/>
              </a:rPr>
              <a:pPr marL="0" indent="0" algn="ctr"/>
              <a:t>39</a:t>
            </a:fld>
            <a:endParaRPr lang="ru-RU" sz="1100" b="0" i="0" u="none" strike="noStrike">
              <a:solidFill>
                <a:srgbClr val="003264"/>
              </a:solidFill>
              <a:latin typeface="Aptos Narrow"/>
              <a:ea typeface="+mn-ea"/>
              <a:cs typeface="+mn-cs"/>
            </a:endParaRPr>
          </a:p>
        </xdr:txBody>
      </xdr:sp>
      <xdr:sp macro="" textlink="Processing!B60">
        <xdr:nvSpPr>
          <xdr:cNvPr id="6149" name="TextBox 6148">
            <a:extLst>
              <a:ext uri="{FF2B5EF4-FFF2-40B4-BE49-F238E27FC236}">
                <a16:creationId xmlns:a16="http://schemas.microsoft.com/office/drawing/2014/main" id="{00000000-0008-0000-0300-000005180000}"/>
              </a:ext>
            </a:extLst>
          </xdr:cNvPr>
          <xdr:cNvSpPr txBox="1"/>
        </xdr:nvSpPr>
        <xdr:spPr>
          <a:xfrm>
            <a:off x="10281447" y="5746018"/>
            <a:ext cx="555743" cy="214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DC13A8-A178-4B8A-A830-DF18E94B90CB}" type="TxLink">
              <a:rPr lang="en-US" sz="1100" b="0" i="0" u="none" strike="noStrike">
                <a:solidFill>
                  <a:srgbClr val="003264"/>
                </a:solidFill>
                <a:latin typeface="Aptos Narrow"/>
                <a:ea typeface="+mn-ea"/>
                <a:cs typeface="+mn-cs"/>
              </a:rPr>
              <a:pPr marL="0" indent="0" algn="ctr"/>
              <a:t>21</a:t>
            </a:fld>
            <a:endParaRPr lang="ru-RU" sz="1100" b="0" i="0" u="none" strike="noStrike">
              <a:solidFill>
                <a:srgbClr val="003264"/>
              </a:solidFill>
              <a:latin typeface="Aptos Narrow"/>
              <a:ea typeface="+mn-ea"/>
              <a:cs typeface="+mn-cs"/>
            </a:endParaRPr>
          </a:p>
        </xdr:txBody>
      </xdr:sp>
      <xdr:sp macro="" textlink="Processing!B61">
        <xdr:nvSpPr>
          <xdr:cNvPr id="6150" name="TextBox 6149">
            <a:extLst>
              <a:ext uri="{FF2B5EF4-FFF2-40B4-BE49-F238E27FC236}">
                <a16:creationId xmlns:a16="http://schemas.microsoft.com/office/drawing/2014/main" id="{00000000-0008-0000-0300-000006180000}"/>
              </a:ext>
            </a:extLst>
          </xdr:cNvPr>
          <xdr:cNvSpPr txBox="1"/>
        </xdr:nvSpPr>
        <xdr:spPr>
          <a:xfrm>
            <a:off x="10281447" y="5968381"/>
            <a:ext cx="555743" cy="214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D28EA69-B9C7-418D-95D6-6F201BD3203F}" type="TxLink">
              <a:rPr lang="en-US" sz="1100" b="0" i="0" u="none" strike="noStrike">
                <a:solidFill>
                  <a:srgbClr val="003264"/>
                </a:solidFill>
                <a:latin typeface="Aptos Narrow"/>
                <a:ea typeface="+mn-ea"/>
                <a:cs typeface="+mn-cs"/>
              </a:rPr>
              <a:pPr marL="0" indent="0" algn="ctr"/>
              <a:t>7</a:t>
            </a:fld>
            <a:endParaRPr lang="ru-RU" sz="1100" b="0" i="0" u="none" strike="noStrike">
              <a:solidFill>
                <a:srgbClr val="003264"/>
              </a:solidFill>
              <a:latin typeface="Aptos Narrow"/>
              <a:ea typeface="+mn-ea"/>
              <a:cs typeface="+mn-cs"/>
            </a:endParaRPr>
          </a:p>
        </xdr:txBody>
      </xdr:sp>
      <xdr:sp macro="" textlink="Processing!B62">
        <xdr:nvSpPr>
          <xdr:cNvPr id="6151" name="TextBox 6150">
            <a:extLst>
              <a:ext uri="{FF2B5EF4-FFF2-40B4-BE49-F238E27FC236}">
                <a16:creationId xmlns:a16="http://schemas.microsoft.com/office/drawing/2014/main" id="{00000000-0008-0000-0300-000007180000}"/>
              </a:ext>
            </a:extLst>
          </xdr:cNvPr>
          <xdr:cNvSpPr txBox="1"/>
        </xdr:nvSpPr>
        <xdr:spPr>
          <a:xfrm>
            <a:off x="10281447" y="6190744"/>
            <a:ext cx="555743" cy="214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36E8EB-37F4-4233-BD1C-90BC3D90DC1E}" type="TxLink">
              <a:rPr lang="en-US" sz="1100" b="0" i="0" u="none" strike="noStrike">
                <a:solidFill>
                  <a:srgbClr val="003264"/>
                </a:solidFill>
                <a:latin typeface="Aptos Narrow"/>
                <a:ea typeface="+mn-ea"/>
                <a:cs typeface="+mn-cs"/>
              </a:rPr>
              <a:pPr marL="0" indent="0" algn="ctr"/>
              <a:t>36</a:t>
            </a:fld>
            <a:endParaRPr lang="ru-RU" sz="1100" b="0" i="0" u="none" strike="noStrike">
              <a:solidFill>
                <a:srgbClr val="003264"/>
              </a:solidFill>
              <a:latin typeface="Aptos Narrow"/>
              <a:ea typeface="+mn-ea"/>
              <a:cs typeface="+mn-cs"/>
            </a:endParaRPr>
          </a:p>
        </xdr:txBody>
      </xdr:sp>
    </xdr:grpSp>
    <xdr:clientData/>
  </xdr:twoCellAnchor>
  <xdr:twoCellAnchor>
    <xdr:from>
      <xdr:col>17</xdr:col>
      <xdr:colOff>242047</xdr:colOff>
      <xdr:row>30</xdr:row>
      <xdr:rowOff>70810</xdr:rowOff>
    </xdr:from>
    <xdr:to>
      <xdr:col>18</xdr:col>
      <xdr:colOff>189587</xdr:colOff>
      <xdr:row>35</xdr:row>
      <xdr:rowOff>43787</xdr:rowOff>
    </xdr:to>
    <xdr:grpSp>
      <xdr:nvGrpSpPr>
        <xdr:cNvPr id="6152" name="Group 6151">
          <a:extLst>
            <a:ext uri="{FF2B5EF4-FFF2-40B4-BE49-F238E27FC236}">
              <a16:creationId xmlns:a16="http://schemas.microsoft.com/office/drawing/2014/main" id="{00000000-0008-0000-0300-000008180000}"/>
            </a:ext>
          </a:extLst>
        </xdr:cNvPr>
        <xdr:cNvGrpSpPr/>
      </xdr:nvGrpSpPr>
      <xdr:grpSpPr>
        <a:xfrm>
          <a:off x="10651511" y="5581703"/>
          <a:ext cx="559862" cy="891459"/>
          <a:chOff x="11113356" y="5523654"/>
          <a:chExt cx="555743" cy="881784"/>
        </a:xfrm>
      </xdr:grpSpPr>
      <xdr:sp macro="" textlink="Processing!C59">
        <xdr:nvSpPr>
          <xdr:cNvPr id="6153" name="TextBox 6152">
            <a:extLst>
              <a:ext uri="{FF2B5EF4-FFF2-40B4-BE49-F238E27FC236}">
                <a16:creationId xmlns:a16="http://schemas.microsoft.com/office/drawing/2014/main" id="{00000000-0008-0000-0300-000009180000}"/>
              </a:ext>
            </a:extLst>
          </xdr:cNvPr>
          <xdr:cNvSpPr txBox="1"/>
        </xdr:nvSpPr>
        <xdr:spPr>
          <a:xfrm>
            <a:off x="11113356" y="5523654"/>
            <a:ext cx="555743" cy="214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B9B815F-F21B-47B3-8B93-CA8B4A52BEEB}" type="TxLink">
              <a:rPr lang="en-US" sz="1100" b="0" i="0" u="none" strike="noStrike">
                <a:solidFill>
                  <a:srgbClr val="003264"/>
                </a:solidFill>
                <a:latin typeface="Aptos Narrow"/>
                <a:ea typeface="+mn-ea"/>
                <a:cs typeface="+mn-cs"/>
              </a:rPr>
              <a:pPr marL="0" indent="0" algn="ctr"/>
              <a:t>38%</a:t>
            </a:fld>
            <a:endParaRPr lang="ru-RU" sz="1100" b="0" i="0" u="none" strike="noStrike">
              <a:solidFill>
                <a:srgbClr val="003264"/>
              </a:solidFill>
              <a:latin typeface="Aptos Narrow"/>
              <a:ea typeface="+mn-ea"/>
              <a:cs typeface="+mn-cs"/>
            </a:endParaRPr>
          </a:p>
        </xdr:txBody>
      </xdr:sp>
      <xdr:sp macro="" textlink="Processing!C60">
        <xdr:nvSpPr>
          <xdr:cNvPr id="6154" name="TextBox 6153">
            <a:extLst>
              <a:ext uri="{FF2B5EF4-FFF2-40B4-BE49-F238E27FC236}">
                <a16:creationId xmlns:a16="http://schemas.microsoft.com/office/drawing/2014/main" id="{00000000-0008-0000-0300-00000A180000}"/>
              </a:ext>
            </a:extLst>
          </xdr:cNvPr>
          <xdr:cNvSpPr txBox="1"/>
        </xdr:nvSpPr>
        <xdr:spPr>
          <a:xfrm>
            <a:off x="11113356" y="5746018"/>
            <a:ext cx="555743" cy="214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372D4A8-079E-4F77-85F8-99B94E76A337}" type="TxLink">
              <a:rPr lang="en-US" sz="1100" b="0" i="0" u="none" strike="noStrike">
                <a:solidFill>
                  <a:srgbClr val="003264"/>
                </a:solidFill>
                <a:latin typeface="Aptos Narrow"/>
                <a:ea typeface="+mn-ea"/>
                <a:cs typeface="+mn-cs"/>
              </a:rPr>
              <a:pPr marL="0" indent="0" algn="ctr"/>
              <a:t>20%</a:t>
            </a:fld>
            <a:endParaRPr lang="ru-RU" sz="1100" b="0" i="0" u="none" strike="noStrike">
              <a:solidFill>
                <a:srgbClr val="003264"/>
              </a:solidFill>
              <a:latin typeface="Aptos Narrow"/>
              <a:ea typeface="+mn-ea"/>
              <a:cs typeface="+mn-cs"/>
            </a:endParaRPr>
          </a:p>
        </xdr:txBody>
      </xdr:sp>
      <xdr:sp macro="" textlink="Processing!C61">
        <xdr:nvSpPr>
          <xdr:cNvPr id="6155" name="TextBox 6154">
            <a:extLst>
              <a:ext uri="{FF2B5EF4-FFF2-40B4-BE49-F238E27FC236}">
                <a16:creationId xmlns:a16="http://schemas.microsoft.com/office/drawing/2014/main" id="{00000000-0008-0000-0300-00000B180000}"/>
              </a:ext>
            </a:extLst>
          </xdr:cNvPr>
          <xdr:cNvSpPr txBox="1"/>
        </xdr:nvSpPr>
        <xdr:spPr>
          <a:xfrm>
            <a:off x="11113356" y="5968381"/>
            <a:ext cx="555743" cy="214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AC90A80-12EE-4BE5-802F-27793F405B45}" type="TxLink">
              <a:rPr lang="en-US" sz="1100" b="0" i="0" u="none" strike="noStrike">
                <a:solidFill>
                  <a:srgbClr val="003264"/>
                </a:solidFill>
                <a:latin typeface="Aptos Narrow"/>
                <a:ea typeface="+mn-ea"/>
                <a:cs typeface="+mn-cs"/>
              </a:rPr>
              <a:pPr marL="0" indent="0" algn="ctr"/>
              <a:t>7%</a:t>
            </a:fld>
            <a:endParaRPr lang="ru-RU" sz="1100" b="0" i="0" u="none" strike="noStrike">
              <a:solidFill>
                <a:srgbClr val="003264"/>
              </a:solidFill>
              <a:latin typeface="Aptos Narrow"/>
              <a:ea typeface="+mn-ea"/>
              <a:cs typeface="+mn-cs"/>
            </a:endParaRPr>
          </a:p>
        </xdr:txBody>
      </xdr:sp>
      <xdr:sp macro="" textlink="Processing!C62">
        <xdr:nvSpPr>
          <xdr:cNvPr id="6156" name="TextBox 6155">
            <a:extLst>
              <a:ext uri="{FF2B5EF4-FFF2-40B4-BE49-F238E27FC236}">
                <a16:creationId xmlns:a16="http://schemas.microsoft.com/office/drawing/2014/main" id="{00000000-0008-0000-0300-00000C180000}"/>
              </a:ext>
            </a:extLst>
          </xdr:cNvPr>
          <xdr:cNvSpPr txBox="1"/>
        </xdr:nvSpPr>
        <xdr:spPr>
          <a:xfrm>
            <a:off x="11113356" y="6190744"/>
            <a:ext cx="555743" cy="214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4C4904-BBAE-4A55-94AD-F0ABBB09D692}" type="TxLink">
              <a:rPr lang="en-US" sz="1100" b="0" i="0" u="none" strike="noStrike">
                <a:solidFill>
                  <a:srgbClr val="003264"/>
                </a:solidFill>
                <a:latin typeface="Aptos Narrow"/>
                <a:ea typeface="+mn-ea"/>
                <a:cs typeface="+mn-cs"/>
              </a:rPr>
              <a:pPr marL="0" indent="0" algn="ctr"/>
              <a:t>35%</a:t>
            </a:fld>
            <a:endParaRPr lang="ru-RU" sz="1100" b="0" i="0" u="none" strike="noStrike">
              <a:solidFill>
                <a:srgbClr val="003264"/>
              </a:solidFill>
              <a:latin typeface="Aptos Narrow"/>
              <a:ea typeface="+mn-ea"/>
              <a:cs typeface="+mn-cs"/>
            </a:endParaRPr>
          </a:p>
        </xdr:txBody>
      </xdr:sp>
    </xdr:grpSp>
    <xdr:clientData/>
  </xdr:twoCellAnchor>
  <xdr:twoCellAnchor>
    <xdr:from>
      <xdr:col>17</xdr:col>
      <xdr:colOff>331614</xdr:colOff>
      <xdr:row>18</xdr:row>
      <xdr:rowOff>114191</xdr:rowOff>
    </xdr:from>
    <xdr:to>
      <xdr:col>19</xdr:col>
      <xdr:colOff>533950</xdr:colOff>
      <xdr:row>21</xdr:row>
      <xdr:rowOff>97871</xdr:rowOff>
    </xdr:to>
    <xdr:sp macro="" textlink="Processing!A58">
      <xdr:nvSpPr>
        <xdr:cNvPr id="6157" name="TextBox 6156">
          <a:extLst>
            <a:ext uri="{FF2B5EF4-FFF2-40B4-BE49-F238E27FC236}">
              <a16:creationId xmlns:a16="http://schemas.microsoft.com/office/drawing/2014/main" id="{00000000-0008-0000-0300-00000D180000}"/>
            </a:ext>
          </a:extLst>
        </xdr:cNvPr>
        <xdr:cNvSpPr txBox="1"/>
      </xdr:nvSpPr>
      <xdr:spPr>
        <a:xfrm>
          <a:off x="10694814" y="3406031"/>
          <a:ext cx="1421536" cy="532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2ECAEC0-DE0D-443A-ADBE-20B2868D0810}" type="TxLink">
            <a:rPr lang="en-US" sz="1400" b="0" i="0" u="none" strike="noStrike">
              <a:solidFill>
                <a:srgbClr val="0F4672"/>
              </a:solidFill>
              <a:latin typeface="Aptos Narrow"/>
              <a:ea typeface="+mn-ea"/>
              <a:cs typeface="+mn-cs"/>
            </a:rPr>
            <a:pPr marL="0" indent="0" algn="r"/>
            <a:t>Transport by Orders</a:t>
          </a:fld>
          <a:endParaRPr lang="ru-RU" sz="1400" b="0" i="0" u="none" strike="noStrike">
            <a:solidFill>
              <a:srgbClr val="0F4672"/>
            </a:solidFill>
            <a:latin typeface="Aptos Narrow"/>
            <a:ea typeface="+mn-ea"/>
            <a:cs typeface="+mn-cs"/>
          </a:endParaRPr>
        </a:p>
      </xdr:txBody>
    </xdr:sp>
    <xdr:clientData/>
  </xdr:twoCellAnchor>
  <xdr:twoCellAnchor>
    <xdr:from>
      <xdr:col>10</xdr:col>
      <xdr:colOff>113668</xdr:colOff>
      <xdr:row>25</xdr:row>
      <xdr:rowOff>171508</xdr:rowOff>
    </xdr:from>
    <xdr:to>
      <xdr:col>13</xdr:col>
      <xdr:colOff>26422</xdr:colOff>
      <xdr:row>35</xdr:row>
      <xdr:rowOff>91254</xdr:rowOff>
    </xdr:to>
    <xdr:grpSp>
      <xdr:nvGrpSpPr>
        <xdr:cNvPr id="6158" name="Group 6157">
          <a:extLst>
            <a:ext uri="{FF2B5EF4-FFF2-40B4-BE49-F238E27FC236}">
              <a16:creationId xmlns:a16="http://schemas.microsoft.com/office/drawing/2014/main" id="{00000000-0008-0000-0300-00000E180000}"/>
            </a:ext>
          </a:extLst>
        </xdr:cNvPr>
        <xdr:cNvGrpSpPr/>
      </xdr:nvGrpSpPr>
      <xdr:grpSpPr>
        <a:xfrm>
          <a:off x="6236882" y="4763919"/>
          <a:ext cx="1749719" cy="1756710"/>
          <a:chOff x="2720359" y="13161940"/>
          <a:chExt cx="1737360" cy="1737360"/>
        </a:xfrm>
      </xdr:grpSpPr>
      <xdr:graphicFrame macro="">
        <xdr:nvGraphicFramePr>
          <xdr:cNvPr id="6159" name="Chart 6158">
            <a:extLst>
              <a:ext uri="{FF2B5EF4-FFF2-40B4-BE49-F238E27FC236}">
                <a16:creationId xmlns:a16="http://schemas.microsoft.com/office/drawing/2014/main" id="{00000000-0008-0000-0300-00000F180000}"/>
              </a:ext>
            </a:extLst>
          </xdr:cNvPr>
          <xdr:cNvGraphicFramePr/>
        </xdr:nvGraphicFramePr>
        <xdr:xfrm>
          <a:off x="2720359" y="13161940"/>
          <a:ext cx="1737360" cy="173736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6160" name="Oval 6159">
            <a:extLst>
              <a:ext uri="{FF2B5EF4-FFF2-40B4-BE49-F238E27FC236}">
                <a16:creationId xmlns:a16="http://schemas.microsoft.com/office/drawing/2014/main" id="{00000000-0008-0000-0300-000010180000}"/>
              </a:ext>
            </a:extLst>
          </xdr:cNvPr>
          <xdr:cNvSpPr/>
        </xdr:nvSpPr>
        <xdr:spPr>
          <a:xfrm>
            <a:off x="2885408" y="13326989"/>
            <a:ext cx="1407262" cy="1407262"/>
          </a:xfrm>
          <a:prstGeom prst="ellipse">
            <a:avLst/>
          </a:prstGeom>
          <a:noFill/>
          <a:ln w="12700">
            <a:gradFill>
              <a:gsLst>
                <a:gs pos="56600">
                  <a:schemeClr val="bg1">
                    <a:alpha val="0"/>
                  </a:schemeClr>
                </a:gs>
                <a:gs pos="100000">
                  <a:schemeClr val="bg1"/>
                </a:gs>
                <a:gs pos="0">
                  <a:schemeClr val="accent1">
                    <a:lumMod val="5000"/>
                    <a:lumOff val="95000"/>
                  </a:schemeClr>
                </a:gs>
              </a:gsLst>
              <a:lin ang="0" scaled="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12</xdr:col>
      <xdr:colOff>362465</xdr:colOff>
      <xdr:row>26</xdr:row>
      <xdr:rowOff>10720</xdr:rowOff>
    </xdr:from>
    <xdr:to>
      <xdr:col>15</xdr:col>
      <xdr:colOff>281447</xdr:colOff>
      <xdr:row>35</xdr:row>
      <xdr:rowOff>41946</xdr:rowOff>
    </xdr:to>
    <xdr:graphicFrame macro="">
      <xdr:nvGraphicFramePr>
        <xdr:cNvPr id="6161" name="Chart 6160">
          <a:extLst>
            <a:ext uri="{FF2B5EF4-FFF2-40B4-BE49-F238E27FC236}">
              <a16:creationId xmlns:a16="http://schemas.microsoft.com/office/drawing/2014/main" id="{00000000-0008-0000-0300-0000111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510490</xdr:colOff>
      <xdr:row>28</xdr:row>
      <xdr:rowOff>18926</xdr:rowOff>
    </xdr:from>
    <xdr:to>
      <xdr:col>12</xdr:col>
      <xdr:colOff>241924</xdr:colOff>
      <xdr:row>33</xdr:row>
      <xdr:rowOff>62076</xdr:rowOff>
    </xdr:to>
    <xdr:sp macro="" textlink="">
      <xdr:nvSpPr>
        <xdr:cNvPr id="6162" name="Oval 6161">
          <a:extLst>
            <a:ext uri="{FF2B5EF4-FFF2-40B4-BE49-F238E27FC236}">
              <a16:creationId xmlns:a16="http://schemas.microsoft.com/office/drawing/2014/main" id="{00000000-0008-0000-0300-000012180000}"/>
            </a:ext>
          </a:extLst>
        </xdr:cNvPr>
        <xdr:cNvSpPr/>
      </xdr:nvSpPr>
      <xdr:spPr>
        <a:xfrm>
          <a:off x="6606490" y="5139566"/>
          <a:ext cx="950634" cy="957550"/>
        </a:xfrm>
        <a:prstGeom prst="ellipse">
          <a:avLst/>
        </a:prstGeom>
        <a:solidFill>
          <a:srgbClr val="F4F5FC"/>
        </a:solidFill>
        <a:ln>
          <a:solidFill>
            <a:schemeClr val="bg1"/>
          </a:solidFill>
        </a:ln>
        <a:effectLst>
          <a:outerShdw blurRad="190500" dist="25400" sx="105000" sy="105000" algn="ctr"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endParaRPr lang="en-US" sz="1200" kern="1200">
            <a:solidFill>
              <a:srgbClr val="747FA4"/>
            </a:solidFill>
            <a:ea typeface="+mn-ea"/>
            <a:cs typeface="+mn-cs"/>
          </a:endParaRPr>
        </a:p>
      </xdr:txBody>
    </xdr:sp>
    <xdr:clientData/>
  </xdr:twoCellAnchor>
  <xdr:twoCellAnchor>
    <xdr:from>
      <xdr:col>11</xdr:col>
      <xdr:colOff>130058</xdr:colOff>
      <xdr:row>29</xdr:row>
      <xdr:rowOff>74797</xdr:rowOff>
    </xdr:from>
    <xdr:to>
      <xdr:col>12</xdr:col>
      <xdr:colOff>253377</xdr:colOff>
      <xdr:row>30</xdr:row>
      <xdr:rowOff>107731</xdr:rowOff>
    </xdr:to>
    <xdr:sp macro="" textlink="Processing!D68">
      <xdr:nvSpPr>
        <xdr:cNvPr id="6163" name="TextBox 6162">
          <a:extLst>
            <a:ext uri="{FF2B5EF4-FFF2-40B4-BE49-F238E27FC236}">
              <a16:creationId xmlns:a16="http://schemas.microsoft.com/office/drawing/2014/main" id="{00000000-0008-0000-0300-000013180000}"/>
            </a:ext>
          </a:extLst>
        </xdr:cNvPr>
        <xdr:cNvSpPr txBox="1"/>
      </xdr:nvSpPr>
      <xdr:spPr>
        <a:xfrm>
          <a:off x="6835658" y="5378317"/>
          <a:ext cx="732919" cy="21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EAF19FB-5F9F-4E69-96AF-CBA50AB5A352}" type="TxLink">
            <a:rPr lang="en-US" sz="1100" b="1" i="0" u="none" strike="noStrike">
              <a:solidFill>
                <a:srgbClr val="003264"/>
              </a:solidFill>
              <a:latin typeface="Aptos Narrow"/>
              <a:ea typeface="+mn-ea"/>
              <a:cs typeface="+mn-cs"/>
            </a:rPr>
            <a:pPr marL="0" indent="0" algn="l"/>
            <a:t> 3,456 </a:t>
          </a:fld>
          <a:endParaRPr lang="ru-RU" sz="1100" b="1" i="0" u="none" strike="noStrike">
            <a:solidFill>
              <a:srgbClr val="003264"/>
            </a:solidFill>
            <a:latin typeface="Aptos Narrow"/>
            <a:ea typeface="+mn-ea"/>
            <a:cs typeface="+mn-cs"/>
          </a:endParaRPr>
        </a:p>
      </xdr:txBody>
    </xdr:sp>
    <xdr:clientData/>
  </xdr:twoCellAnchor>
  <xdr:twoCellAnchor>
    <xdr:from>
      <xdr:col>11</xdr:col>
      <xdr:colOff>130058</xdr:colOff>
      <xdr:row>30</xdr:row>
      <xdr:rowOff>114916</xdr:rowOff>
    </xdr:from>
    <xdr:to>
      <xdr:col>12</xdr:col>
      <xdr:colOff>253377</xdr:colOff>
      <xdr:row>31</xdr:row>
      <xdr:rowOff>147848</xdr:rowOff>
    </xdr:to>
    <xdr:sp macro="" textlink="Processing!D69">
      <xdr:nvSpPr>
        <xdr:cNvPr id="6164" name="TextBox 6163">
          <a:extLst>
            <a:ext uri="{FF2B5EF4-FFF2-40B4-BE49-F238E27FC236}">
              <a16:creationId xmlns:a16="http://schemas.microsoft.com/office/drawing/2014/main" id="{00000000-0008-0000-0300-000014180000}"/>
            </a:ext>
          </a:extLst>
        </xdr:cNvPr>
        <xdr:cNvSpPr txBox="1"/>
      </xdr:nvSpPr>
      <xdr:spPr>
        <a:xfrm>
          <a:off x="6835658" y="5601316"/>
          <a:ext cx="732919" cy="215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19AB81-0342-4A4A-A525-106D7E1C5C6B}" type="TxLink">
            <a:rPr lang="en-US" sz="1100" b="1" i="0" u="none" strike="noStrike">
              <a:solidFill>
                <a:srgbClr val="003264"/>
              </a:solidFill>
              <a:latin typeface="Aptos Narrow"/>
              <a:ea typeface="+mn-ea"/>
              <a:cs typeface="+mn-cs"/>
            </a:rPr>
            <a:pPr marL="0" indent="0" algn="l"/>
            <a:t> 4,143 </a:t>
          </a:fld>
          <a:endParaRPr lang="ru-RU" sz="1100" b="1" i="0" u="none" strike="noStrike">
            <a:solidFill>
              <a:srgbClr val="003264"/>
            </a:solidFill>
            <a:latin typeface="Aptos Narrow"/>
            <a:ea typeface="+mn-ea"/>
            <a:cs typeface="+mn-cs"/>
          </a:endParaRPr>
        </a:p>
      </xdr:txBody>
    </xdr:sp>
    <xdr:clientData/>
  </xdr:twoCellAnchor>
  <xdr:twoCellAnchor>
    <xdr:from>
      <xdr:col>11</xdr:col>
      <xdr:colOff>130058</xdr:colOff>
      <xdr:row>31</xdr:row>
      <xdr:rowOff>155033</xdr:rowOff>
    </xdr:from>
    <xdr:to>
      <xdr:col>12</xdr:col>
      <xdr:colOff>253377</xdr:colOff>
      <xdr:row>33</xdr:row>
      <xdr:rowOff>6205</xdr:rowOff>
    </xdr:to>
    <xdr:sp macro="" textlink="Processing!D70">
      <xdr:nvSpPr>
        <xdr:cNvPr id="6165" name="TextBox 6164">
          <a:extLst>
            <a:ext uri="{FF2B5EF4-FFF2-40B4-BE49-F238E27FC236}">
              <a16:creationId xmlns:a16="http://schemas.microsoft.com/office/drawing/2014/main" id="{00000000-0008-0000-0300-000015180000}"/>
            </a:ext>
          </a:extLst>
        </xdr:cNvPr>
        <xdr:cNvSpPr txBox="1"/>
      </xdr:nvSpPr>
      <xdr:spPr>
        <a:xfrm>
          <a:off x="6835658" y="5824313"/>
          <a:ext cx="732919" cy="216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C39F52F-30E6-4B85-B28E-B1305D9552CD}" type="TxLink">
            <a:rPr lang="en-US" sz="1100" b="1" i="0" u="none" strike="noStrike">
              <a:solidFill>
                <a:srgbClr val="003264"/>
              </a:solidFill>
              <a:latin typeface="Aptos Narrow"/>
              <a:ea typeface="+mn-ea"/>
              <a:cs typeface="+mn-cs"/>
            </a:rPr>
            <a:pPr marL="0" indent="0" algn="l"/>
            <a:t> 1,684 </a:t>
          </a:fld>
          <a:endParaRPr lang="ru-RU" sz="1100" b="1" i="0" u="none" strike="noStrike">
            <a:solidFill>
              <a:srgbClr val="003264"/>
            </a:solidFill>
            <a:latin typeface="Aptos Narrow"/>
            <a:ea typeface="+mn-ea"/>
            <a:cs typeface="+mn-cs"/>
          </a:endParaRPr>
        </a:p>
      </xdr:txBody>
    </xdr:sp>
    <xdr:clientData/>
  </xdr:twoCellAnchor>
  <xdr:twoCellAnchor>
    <xdr:from>
      <xdr:col>11</xdr:col>
      <xdr:colOff>69594</xdr:colOff>
      <xdr:row>29</xdr:row>
      <xdr:rowOff>123599</xdr:rowOff>
    </xdr:from>
    <xdr:to>
      <xdr:col>11</xdr:col>
      <xdr:colOff>187068</xdr:colOff>
      <xdr:row>30</xdr:row>
      <xdr:rowOff>61043</xdr:rowOff>
    </xdr:to>
    <xdr:sp macro="" textlink="">
      <xdr:nvSpPr>
        <xdr:cNvPr id="6166" name="Oval 6165">
          <a:extLst>
            <a:ext uri="{FF2B5EF4-FFF2-40B4-BE49-F238E27FC236}">
              <a16:creationId xmlns:a16="http://schemas.microsoft.com/office/drawing/2014/main" id="{00000000-0008-0000-0300-000016180000}"/>
            </a:ext>
          </a:extLst>
        </xdr:cNvPr>
        <xdr:cNvSpPr/>
      </xdr:nvSpPr>
      <xdr:spPr>
        <a:xfrm>
          <a:off x="6775194" y="5427119"/>
          <a:ext cx="117474" cy="120324"/>
        </a:xfrm>
        <a:prstGeom prst="ellipse">
          <a:avLst/>
        </a:prstGeom>
        <a:gradFill>
          <a:gsLst>
            <a:gs pos="0">
              <a:srgbClr val="E053FB"/>
            </a:gs>
            <a:gs pos="100000">
              <a:srgbClr val="7C74F5"/>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69594</xdr:colOff>
      <xdr:row>30</xdr:row>
      <xdr:rowOff>163755</xdr:rowOff>
    </xdr:from>
    <xdr:to>
      <xdr:col>11</xdr:col>
      <xdr:colOff>187068</xdr:colOff>
      <xdr:row>31</xdr:row>
      <xdr:rowOff>101197</xdr:rowOff>
    </xdr:to>
    <xdr:sp macro="" textlink="">
      <xdr:nvSpPr>
        <xdr:cNvPr id="6167" name="Oval 6166">
          <a:extLst>
            <a:ext uri="{FF2B5EF4-FFF2-40B4-BE49-F238E27FC236}">
              <a16:creationId xmlns:a16="http://schemas.microsoft.com/office/drawing/2014/main" id="{00000000-0008-0000-0300-000017180000}"/>
            </a:ext>
          </a:extLst>
        </xdr:cNvPr>
        <xdr:cNvSpPr/>
      </xdr:nvSpPr>
      <xdr:spPr>
        <a:xfrm>
          <a:off x="6775194" y="5650155"/>
          <a:ext cx="117474" cy="120322"/>
        </a:xfrm>
        <a:prstGeom prst="ellipse">
          <a:avLst/>
        </a:prstGeom>
        <a:gradFill>
          <a:gsLst>
            <a:gs pos="0">
              <a:srgbClr val="6D8DF8"/>
            </a:gs>
            <a:gs pos="100000">
              <a:srgbClr val="2AF2F7"/>
            </a:gs>
          </a:gsLst>
          <a:lin ang="19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69594</xdr:colOff>
      <xdr:row>32</xdr:row>
      <xdr:rowOff>22148</xdr:rowOff>
    </xdr:from>
    <xdr:to>
      <xdr:col>11</xdr:col>
      <xdr:colOff>187068</xdr:colOff>
      <xdr:row>32</xdr:row>
      <xdr:rowOff>141354</xdr:rowOff>
    </xdr:to>
    <xdr:sp macro="" textlink="">
      <xdr:nvSpPr>
        <xdr:cNvPr id="6168" name="Oval 6167">
          <a:extLst>
            <a:ext uri="{FF2B5EF4-FFF2-40B4-BE49-F238E27FC236}">
              <a16:creationId xmlns:a16="http://schemas.microsoft.com/office/drawing/2014/main" id="{00000000-0008-0000-0300-000018180000}"/>
            </a:ext>
          </a:extLst>
        </xdr:cNvPr>
        <xdr:cNvSpPr/>
      </xdr:nvSpPr>
      <xdr:spPr>
        <a:xfrm>
          <a:off x="6775194" y="5874308"/>
          <a:ext cx="117474" cy="119206"/>
        </a:xfrm>
        <a:prstGeom prst="ellipse">
          <a:avLst/>
        </a:prstGeom>
        <a:gradFill>
          <a:gsLst>
            <a:gs pos="0">
              <a:srgbClr val="98CAE0"/>
            </a:gs>
            <a:gs pos="100000">
              <a:srgbClr val="4393C5"/>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361798</xdr:colOff>
      <xdr:row>25</xdr:row>
      <xdr:rowOff>107200</xdr:rowOff>
    </xdr:from>
    <xdr:to>
      <xdr:col>14</xdr:col>
      <xdr:colOff>602375</xdr:colOff>
      <xdr:row>27</xdr:row>
      <xdr:rowOff>1</xdr:rowOff>
    </xdr:to>
    <xdr:sp macro="" textlink="Processing!A67">
      <xdr:nvSpPr>
        <xdr:cNvPr id="6169" name="TextBox 6168">
          <a:extLst>
            <a:ext uri="{FF2B5EF4-FFF2-40B4-BE49-F238E27FC236}">
              <a16:creationId xmlns:a16="http://schemas.microsoft.com/office/drawing/2014/main" id="{00000000-0008-0000-0300-000019180000}"/>
            </a:ext>
          </a:extLst>
        </xdr:cNvPr>
        <xdr:cNvSpPr txBox="1"/>
      </xdr:nvSpPr>
      <xdr:spPr>
        <a:xfrm>
          <a:off x="7067398" y="4679200"/>
          <a:ext cx="2069377" cy="2585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6EAE51B-8485-4E79-A0AE-0A062E65AC9E}" type="TxLink">
            <a:rPr lang="en-US" sz="1400" b="0" i="0" u="none" strike="noStrike">
              <a:solidFill>
                <a:srgbClr val="0F4672"/>
              </a:solidFill>
              <a:latin typeface="Aptos Narrow"/>
              <a:ea typeface="+mn-ea"/>
              <a:cs typeface="+mn-cs"/>
            </a:rPr>
            <a:pPr marL="0" indent="0" algn="ctr"/>
            <a:t>QTY &amp; Orders by Status</a:t>
          </a:fld>
          <a:endParaRPr lang="ru-RU" sz="1400" b="0" i="0" u="none" strike="noStrike">
            <a:solidFill>
              <a:srgbClr val="0F4672"/>
            </a:solidFill>
            <a:latin typeface="Aptos Narrow"/>
            <a:ea typeface="+mn-ea"/>
            <a:cs typeface="+mn-cs"/>
          </a:endParaRPr>
        </a:p>
      </xdr:txBody>
    </xdr:sp>
    <xdr:clientData/>
  </xdr:twoCellAnchor>
  <xdr:twoCellAnchor>
    <xdr:from>
      <xdr:col>11</xdr:col>
      <xdr:colOff>96275</xdr:colOff>
      <xdr:row>28</xdr:row>
      <xdr:rowOff>63818</xdr:rowOff>
    </xdr:from>
    <xdr:to>
      <xdr:col>12</xdr:col>
      <xdr:colOff>43817</xdr:colOff>
      <xdr:row>29</xdr:row>
      <xdr:rowOff>96751</xdr:rowOff>
    </xdr:to>
    <xdr:sp macro="" textlink="Processing!D67">
      <xdr:nvSpPr>
        <xdr:cNvPr id="6170" name="TextBox 6169">
          <a:extLst>
            <a:ext uri="{FF2B5EF4-FFF2-40B4-BE49-F238E27FC236}">
              <a16:creationId xmlns:a16="http://schemas.microsoft.com/office/drawing/2014/main" id="{00000000-0008-0000-0300-00001A180000}"/>
            </a:ext>
          </a:extLst>
        </xdr:cNvPr>
        <xdr:cNvSpPr txBox="1"/>
      </xdr:nvSpPr>
      <xdr:spPr>
        <a:xfrm>
          <a:off x="6801875" y="5184458"/>
          <a:ext cx="557142" cy="215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43FC29-0521-451D-A14D-503E18205F19}" type="TxLink">
            <a:rPr lang="en-US" sz="1100" b="1" i="0" u="none" strike="noStrike">
              <a:solidFill>
                <a:schemeClr val="tx1"/>
              </a:solidFill>
              <a:latin typeface="Calibri"/>
              <a:ea typeface="+mn-ea"/>
              <a:cs typeface="Calibri"/>
            </a:rPr>
            <a:pPr marL="0" indent="0" algn="ctr"/>
            <a:t>QTY</a:t>
          </a:fld>
          <a:endParaRPr lang="ru-RU" sz="1100" b="1" i="0" u="none" strike="noStrike">
            <a:solidFill>
              <a:schemeClr val="tx1"/>
            </a:solidFill>
            <a:latin typeface="Aptos Narrow"/>
            <a:ea typeface="+mn-ea"/>
            <a:cs typeface="+mn-cs"/>
          </a:endParaRPr>
        </a:p>
      </xdr:txBody>
    </xdr:sp>
    <xdr:clientData/>
  </xdr:twoCellAnchor>
  <xdr:twoCellAnchor>
    <xdr:from>
      <xdr:col>11</xdr:col>
      <xdr:colOff>59559</xdr:colOff>
      <xdr:row>29</xdr:row>
      <xdr:rowOff>69908</xdr:rowOff>
    </xdr:from>
    <xdr:to>
      <xdr:col>12</xdr:col>
      <xdr:colOff>80532</xdr:colOff>
      <xdr:row>29</xdr:row>
      <xdr:rowOff>69908</xdr:rowOff>
    </xdr:to>
    <xdr:cxnSp macro="">
      <xdr:nvCxnSpPr>
        <xdr:cNvPr id="6171" name="Straight Connector 6170">
          <a:extLst>
            <a:ext uri="{FF2B5EF4-FFF2-40B4-BE49-F238E27FC236}">
              <a16:creationId xmlns:a16="http://schemas.microsoft.com/office/drawing/2014/main" id="{00000000-0008-0000-0300-00001B180000}"/>
            </a:ext>
          </a:extLst>
        </xdr:cNvPr>
        <xdr:cNvCxnSpPr/>
      </xdr:nvCxnSpPr>
      <xdr:spPr>
        <a:xfrm>
          <a:off x="6765159" y="5373428"/>
          <a:ext cx="630573"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13754</xdr:colOff>
      <xdr:row>25</xdr:row>
      <xdr:rowOff>74838</xdr:rowOff>
    </xdr:from>
    <xdr:to>
      <xdr:col>10</xdr:col>
      <xdr:colOff>51061</xdr:colOff>
      <xdr:row>35</xdr:row>
      <xdr:rowOff>59517</xdr:rowOff>
    </xdr:to>
    <xdr:sp macro="" textlink="">
      <xdr:nvSpPr>
        <xdr:cNvPr id="13" name="Rectangle: Rounded Corners 12">
          <a:extLst>
            <a:ext uri="{FF2B5EF4-FFF2-40B4-BE49-F238E27FC236}">
              <a16:creationId xmlns:a16="http://schemas.microsoft.com/office/drawing/2014/main" id="{00000000-0008-0000-0300-00000D000000}"/>
            </a:ext>
          </a:extLst>
        </xdr:cNvPr>
        <xdr:cNvSpPr/>
      </xdr:nvSpPr>
      <xdr:spPr>
        <a:xfrm>
          <a:off x="626075" y="4667249"/>
          <a:ext cx="5548200" cy="1821643"/>
        </a:xfrm>
        <a:prstGeom prst="roundRect">
          <a:avLst>
            <a:gd name="adj" fmla="val 12153"/>
          </a:avLst>
        </a:prstGeom>
        <a:gradFill flip="none" rotWithShape="1">
          <a:gsLst>
            <a:gs pos="0">
              <a:srgbClr val="004679"/>
            </a:gs>
            <a:gs pos="100000">
              <a:srgbClr val="181C3B"/>
            </a:gs>
          </a:gsLst>
          <a:path path="circle">
            <a:fillToRect l="50000" t="-80000" r="50000" b="180000"/>
          </a:path>
          <a:tileRect/>
        </a:gradFill>
        <a:ln>
          <a:noFill/>
        </a:ln>
        <a:effectLst>
          <a:outerShdw blurRad="127000" dist="127000" dir="5400000" sx="102000" sy="102000" algn="t" rotWithShape="0">
            <a:srgbClr val="3D506B">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0</xdr:col>
      <xdr:colOff>601780</xdr:colOff>
      <xdr:row>25</xdr:row>
      <xdr:rowOff>156482</xdr:rowOff>
    </xdr:from>
    <xdr:to>
      <xdr:col>10</xdr:col>
      <xdr:colOff>30648</xdr:colOff>
      <xdr:row>35</xdr:row>
      <xdr:rowOff>27214</xdr:rowOff>
    </xdr:to>
    <xdr:graphicFrame macro="">
      <xdr:nvGraphicFramePr>
        <xdr:cNvPr id="23" name="Chart 22">
          <a:extLst>
            <a:ext uri="{FF2B5EF4-FFF2-40B4-BE49-F238E27FC236}">
              <a16:creationId xmlns:a16="http://schemas.microsoft.com/office/drawing/2014/main" id="{00000000-0008-0000-03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59517</xdr:colOff>
      <xdr:row>25</xdr:row>
      <xdr:rowOff>67264</xdr:rowOff>
    </xdr:from>
    <xdr:to>
      <xdr:col>5</xdr:col>
      <xdr:colOff>303020</xdr:colOff>
      <xdr:row>26</xdr:row>
      <xdr:rowOff>175956</xdr:rowOff>
    </xdr:to>
    <xdr:sp macro="" textlink="Processing!A7">
      <xdr:nvSpPr>
        <xdr:cNvPr id="24" name="TextBox 23">
          <a:extLst>
            <a:ext uri="{FF2B5EF4-FFF2-40B4-BE49-F238E27FC236}">
              <a16:creationId xmlns:a16="http://schemas.microsoft.com/office/drawing/2014/main" id="{00000000-0008-0000-0300-000018000000}"/>
            </a:ext>
          </a:extLst>
        </xdr:cNvPr>
        <xdr:cNvSpPr txBox="1"/>
      </xdr:nvSpPr>
      <xdr:spPr>
        <a:xfrm>
          <a:off x="671838" y="4659675"/>
          <a:ext cx="2692789"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6EB10127-069A-49F4-B6B0-98AE2CDA6499}" type="TxLink">
            <a:rPr lang="en-US" sz="1300" b="1" i="0" u="none" strike="noStrike">
              <a:solidFill>
                <a:schemeClr val="bg1"/>
              </a:solidFill>
              <a:effectLst>
                <a:outerShdw blurRad="50800" dist="38100" dir="8100000" algn="tr" rotWithShape="0">
                  <a:prstClr val="black">
                    <a:alpha val="40000"/>
                  </a:prstClr>
                </a:outerShdw>
              </a:effectLst>
              <a:latin typeface="Quadran" panose="00000500000000000000" pitchFamily="50" charset="0"/>
              <a:ea typeface="+mn-ea"/>
              <a:cs typeface="Calibri"/>
            </a:rPr>
            <a:pPr marL="0" indent="0" algn="ctr"/>
            <a:t>Monthly Quantity Trends</a:t>
          </a:fld>
          <a:endParaRPr lang="en-US" sz="1300" b="1" i="0" u="none" strike="noStrike">
            <a:solidFill>
              <a:schemeClr val="bg1"/>
            </a:solidFill>
            <a:effectLst>
              <a:outerShdw blurRad="50800" dist="38100" dir="8100000" algn="tr" rotWithShape="0">
                <a:prstClr val="black">
                  <a:alpha val="40000"/>
                </a:prstClr>
              </a:outerShdw>
            </a:effectLst>
            <a:latin typeface="Quadran" panose="00000500000000000000" pitchFamily="50" charset="0"/>
            <a:ea typeface="+mn-ea"/>
            <a:cs typeface="Calibri"/>
          </a:endParaRPr>
        </a:p>
      </xdr:txBody>
    </xdr:sp>
    <xdr:clientData/>
  </xdr:twoCellAnchor>
  <xdr:twoCellAnchor>
    <xdr:from>
      <xdr:col>8</xdr:col>
      <xdr:colOff>247425</xdr:colOff>
      <xdr:row>25</xdr:row>
      <xdr:rowOff>63523</xdr:rowOff>
    </xdr:from>
    <xdr:to>
      <xdr:col>10</xdr:col>
      <xdr:colOff>14731</xdr:colOff>
      <xdr:row>27</xdr:row>
      <xdr:rowOff>35671</xdr:rowOff>
    </xdr:to>
    <xdr:sp macro="" textlink="Processing!B2">
      <xdr:nvSpPr>
        <xdr:cNvPr id="26" name="TextBox 24">
          <a:extLst>
            <a:ext uri="{FF2B5EF4-FFF2-40B4-BE49-F238E27FC236}">
              <a16:creationId xmlns:a16="http://schemas.microsoft.com/office/drawing/2014/main" id="{00000000-0008-0000-0300-00001A000000}"/>
            </a:ext>
          </a:extLst>
        </xdr:cNvPr>
        <xdr:cNvSpPr txBox="1"/>
      </xdr:nvSpPr>
      <xdr:spPr>
        <a:xfrm>
          <a:off x="5145996" y="4655934"/>
          <a:ext cx="991949" cy="339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r" defTabSz="914400" rtl="0" eaLnBrk="1" latinLnBrk="0" hangingPunct="1"/>
          <a:fld id="{D602514B-0FE5-4AE1-AB88-192D09279805}" type="TxLink">
            <a:rPr lang="en-US" sz="2000" b="0" i="0" u="none" strike="noStrike">
              <a:solidFill>
                <a:srgbClr val="01EFFA"/>
              </a:solidFill>
              <a:latin typeface="Aptos Narrow"/>
              <a:ea typeface="+mn-ea"/>
              <a:cs typeface="+mn-cs"/>
            </a:rPr>
            <a:pPr marL="0" indent="0" algn="r" defTabSz="914400" rtl="0" eaLnBrk="1" latinLnBrk="0" hangingPunct="1"/>
            <a:t> 9,283 </a:t>
          </a:fld>
          <a:endParaRPr lang="ru-RU" sz="2000" b="0" i="0" u="none" strike="noStrike">
            <a:solidFill>
              <a:srgbClr val="01EFFA"/>
            </a:solidFill>
            <a:latin typeface="Aptos Narrow"/>
            <a:ea typeface="+mn-ea"/>
            <a:cs typeface="+mn-cs"/>
          </a:endParaRPr>
        </a:p>
      </xdr:txBody>
    </xdr:sp>
    <xdr:clientData/>
  </xdr:twoCellAnchor>
  <xdr:twoCellAnchor>
    <xdr:from>
      <xdr:col>1</xdr:col>
      <xdr:colOff>61381</xdr:colOff>
      <xdr:row>12</xdr:row>
      <xdr:rowOff>27236</xdr:rowOff>
    </xdr:from>
    <xdr:to>
      <xdr:col>10</xdr:col>
      <xdr:colOff>146872</xdr:colOff>
      <xdr:row>25</xdr:row>
      <xdr:rowOff>0</xdr:rowOff>
    </xdr:to>
    <xdr:sp macro="" textlink="">
      <xdr:nvSpPr>
        <xdr:cNvPr id="19" name="Rectangle: Rounded Corners 18">
          <a:extLst>
            <a:ext uri="{FF2B5EF4-FFF2-40B4-BE49-F238E27FC236}">
              <a16:creationId xmlns:a16="http://schemas.microsoft.com/office/drawing/2014/main" id="{00000000-0008-0000-0300-000013000000}"/>
            </a:ext>
          </a:extLst>
        </xdr:cNvPr>
        <xdr:cNvSpPr/>
      </xdr:nvSpPr>
      <xdr:spPr>
        <a:xfrm>
          <a:off x="673702" y="2231593"/>
          <a:ext cx="5596384" cy="2360818"/>
        </a:xfrm>
        <a:prstGeom prst="roundRect">
          <a:avLst>
            <a:gd name="adj" fmla="val 8566"/>
          </a:avLst>
        </a:prstGeom>
        <a:solidFill>
          <a:srgbClr val="EAF2FA"/>
        </a:solidFill>
        <a:ln w="12700">
          <a:solidFill>
            <a:schemeClr val="bg1"/>
          </a:solidFill>
        </a:ln>
        <a:effectLst>
          <a:outerShdw blurRad="190500" dist="63500" dir="2700000" algn="tl" rotWithShape="0">
            <a:srgbClr val="334F67">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40023</xdr:colOff>
      <xdr:row>12</xdr:row>
      <xdr:rowOff>170661</xdr:rowOff>
    </xdr:from>
    <xdr:to>
      <xdr:col>10</xdr:col>
      <xdr:colOff>129265</xdr:colOff>
      <xdr:row>24</xdr:row>
      <xdr:rowOff>109850</xdr:rowOff>
    </xdr:to>
    <xdr:graphicFrame macro="">
      <xdr:nvGraphicFramePr>
        <xdr:cNvPr id="6173" name="Chart 6172">
          <a:extLst>
            <a:ext uri="{FF2B5EF4-FFF2-40B4-BE49-F238E27FC236}">
              <a16:creationId xmlns:a16="http://schemas.microsoft.com/office/drawing/2014/main" id="{00000000-0008-0000-0300-00001D1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351926</xdr:colOff>
      <xdr:row>12</xdr:row>
      <xdr:rowOff>27236</xdr:rowOff>
    </xdr:from>
    <xdr:to>
      <xdr:col>6</xdr:col>
      <xdr:colOff>568619</xdr:colOff>
      <xdr:row>14</xdr:row>
      <xdr:rowOff>65568</xdr:rowOff>
    </xdr:to>
    <mc:AlternateContent xmlns:mc="http://schemas.openxmlformats.org/markup-compatibility/2006" xmlns:a14="http://schemas.microsoft.com/office/drawing/2010/main">
      <mc:Choice Requires="a14">
        <xdr:graphicFrame macro="">
          <xdr:nvGraphicFramePr>
            <xdr:cNvPr id="6174" name="Years (Order_Date) 4">
              <a:extLst>
                <a:ext uri="{FF2B5EF4-FFF2-40B4-BE49-F238E27FC236}">
                  <a16:creationId xmlns:a16="http://schemas.microsoft.com/office/drawing/2014/main" id="{00000000-0008-0000-0300-00001E180000}"/>
                </a:ext>
              </a:extLst>
            </xdr:cNvPr>
            <xdr:cNvGraphicFramePr/>
          </xdr:nvGraphicFramePr>
          <xdr:xfrm>
            <a:off x="0" y="0"/>
            <a:ext cx="0" cy="0"/>
          </xdr:xfrm>
          <a:graphic>
            <a:graphicData uri="http://schemas.microsoft.com/office/drawing/2010/slicer">
              <sle:slicer xmlns:sle="http://schemas.microsoft.com/office/drawing/2010/slicer" name="Years (Order_Date) 4"/>
            </a:graphicData>
          </a:graphic>
        </xdr:graphicFrame>
      </mc:Choice>
      <mc:Fallback xmlns="">
        <xdr:sp macro="" textlink="">
          <xdr:nvSpPr>
            <xdr:cNvPr id="0" name=""/>
            <xdr:cNvSpPr>
              <a:spLocks noTextEdit="1"/>
            </xdr:cNvSpPr>
          </xdr:nvSpPr>
          <xdr:spPr>
            <a:xfrm>
              <a:off x="2801212" y="2231593"/>
              <a:ext cx="1441336" cy="405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222646</xdr:colOff>
      <xdr:row>12</xdr:row>
      <xdr:rowOff>81736</xdr:rowOff>
    </xdr:from>
    <xdr:to>
      <xdr:col>4</xdr:col>
      <xdr:colOff>530989</xdr:colOff>
      <xdr:row>14</xdr:row>
      <xdr:rowOff>16811</xdr:rowOff>
    </xdr:to>
    <xdr:sp macro="" textlink="Processing!A76">
      <xdr:nvSpPr>
        <xdr:cNvPr id="6175" name="TextBox 6174">
          <a:extLst>
            <a:ext uri="{FF2B5EF4-FFF2-40B4-BE49-F238E27FC236}">
              <a16:creationId xmlns:a16="http://schemas.microsoft.com/office/drawing/2014/main" id="{00000000-0008-0000-0300-00001F180000}"/>
            </a:ext>
          </a:extLst>
        </xdr:cNvPr>
        <xdr:cNvSpPr txBox="1"/>
      </xdr:nvSpPr>
      <xdr:spPr>
        <a:xfrm>
          <a:off x="834967" y="2286093"/>
          <a:ext cx="2145308" cy="302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3D8AE25-9FE2-4125-A61A-384F687E8747}" type="TxLink">
            <a:rPr lang="en-US" sz="1400" b="0" i="0" u="none" strike="noStrike">
              <a:solidFill>
                <a:srgbClr val="0F4672"/>
              </a:solidFill>
              <a:latin typeface="Aptos Narrow"/>
              <a:ea typeface="+mn-ea"/>
              <a:cs typeface="+mn-cs"/>
            </a:rPr>
            <a:pPr marL="0" indent="0" algn="l"/>
            <a:t>Monthly Order Trends</a:t>
          </a:fld>
          <a:endParaRPr lang="ru-RU" sz="1400" b="0" i="0" u="none" strike="noStrike">
            <a:solidFill>
              <a:srgbClr val="0F4672"/>
            </a:solidFill>
            <a:latin typeface="Aptos Narrow"/>
            <a:ea typeface="+mn-ea"/>
            <a:cs typeface="+mn-cs"/>
          </a:endParaRPr>
        </a:p>
      </xdr:txBody>
    </xdr:sp>
    <xdr:clientData/>
  </xdr:twoCellAnchor>
  <xdr:twoCellAnchor>
    <xdr:from>
      <xdr:col>6</xdr:col>
      <xdr:colOff>580394</xdr:colOff>
      <xdr:row>12</xdr:row>
      <xdr:rowOff>5218</xdr:rowOff>
    </xdr:from>
    <xdr:to>
      <xdr:col>9</xdr:col>
      <xdr:colOff>514773</xdr:colOff>
      <xdr:row>14</xdr:row>
      <xdr:rowOff>55882</xdr:rowOff>
    </xdr:to>
    <xdr:sp macro="" textlink="Processing!C89">
      <xdr:nvSpPr>
        <xdr:cNvPr id="6176" name="TextBox 6175">
          <a:extLst>
            <a:ext uri="{FF2B5EF4-FFF2-40B4-BE49-F238E27FC236}">
              <a16:creationId xmlns:a16="http://schemas.microsoft.com/office/drawing/2014/main" id="{00000000-0008-0000-0300-000020180000}"/>
            </a:ext>
          </a:extLst>
        </xdr:cNvPr>
        <xdr:cNvSpPr txBox="1"/>
      </xdr:nvSpPr>
      <xdr:spPr>
        <a:xfrm>
          <a:off x="4254323" y="2209575"/>
          <a:ext cx="1771343" cy="418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3089645-07FF-4C91-844E-6854EC4D3E84}" type="TxLink">
            <a:rPr lang="en-US" sz="2000" b="0" i="0" u="none" strike="noStrike">
              <a:solidFill>
                <a:srgbClr val="0F4672"/>
              </a:solidFill>
              <a:latin typeface="Aptos Narrow"/>
              <a:ea typeface="+mn-ea"/>
              <a:cs typeface="+mn-cs"/>
            </a:rPr>
            <a:pPr marL="0" indent="0" algn="r"/>
            <a:t>103</a:t>
          </a:fld>
          <a:endParaRPr lang="ru-RU" sz="2000" b="0" i="0" u="none" strike="noStrike">
            <a:solidFill>
              <a:srgbClr val="0F4672"/>
            </a:solidFill>
            <a:latin typeface="Aptos Narrow"/>
            <a:ea typeface="+mn-ea"/>
            <a:cs typeface="+mn-cs"/>
          </a:endParaRPr>
        </a:p>
      </xdr:txBody>
    </xdr:sp>
    <xdr:clientData/>
  </xdr:twoCellAnchor>
  <xdr:oneCellAnchor>
    <xdr:from>
      <xdr:col>1</xdr:col>
      <xdr:colOff>190566</xdr:colOff>
      <xdr:row>6</xdr:row>
      <xdr:rowOff>150984</xdr:rowOff>
    </xdr:from>
    <xdr:ext cx="1950441" cy="646395"/>
    <xdr:sp macro="" textlink="Processing!A2">
      <xdr:nvSpPr>
        <xdr:cNvPr id="6177" name="TextBox 6176">
          <a:extLst>
            <a:ext uri="{FF2B5EF4-FFF2-40B4-BE49-F238E27FC236}">
              <a16:creationId xmlns:a16="http://schemas.microsoft.com/office/drawing/2014/main" id="{00000000-0008-0000-0300-000021180000}"/>
            </a:ext>
          </a:extLst>
        </xdr:cNvPr>
        <xdr:cNvSpPr txBox="1"/>
      </xdr:nvSpPr>
      <xdr:spPr>
        <a:xfrm>
          <a:off x="800166" y="1248264"/>
          <a:ext cx="1950441" cy="646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46F12477-FB42-41BF-A4A6-211A682C3673}" type="TxLink">
            <a:rPr lang="en-US" sz="3600" b="0" i="0" u="none" strike="noStrike">
              <a:gradFill>
                <a:gsLst>
                  <a:gs pos="0">
                    <a:schemeClr val="bg1"/>
                  </a:gs>
                  <a:gs pos="100000">
                    <a:schemeClr val="accent1">
                      <a:lumMod val="20000"/>
                      <a:lumOff val="80000"/>
                    </a:schemeClr>
                  </a:gs>
                </a:gsLst>
                <a:lin ang="5400000" scaled="1"/>
              </a:gradFill>
              <a:effectLst>
                <a:outerShdw blurRad="50800" dist="38100" dir="8100000" algn="tr" rotWithShape="0">
                  <a:prstClr val="black">
                    <a:alpha val="40000"/>
                  </a:prstClr>
                </a:outerShdw>
              </a:effectLst>
              <a:latin typeface="Roboto Black" panose="02000000000000000000" pitchFamily="2" charset="0"/>
              <a:ea typeface="Roboto Black" panose="02000000000000000000" pitchFamily="2" charset="0"/>
              <a:cs typeface="Calibri"/>
            </a:rPr>
            <a:pPr marL="0" indent="0" algn="ctr"/>
            <a:t>103</a:t>
          </a:fld>
          <a:endParaRPr lang="en-US" sz="3600" b="0" i="0" u="none" strike="noStrike">
            <a:gradFill>
              <a:gsLst>
                <a:gs pos="0">
                  <a:schemeClr val="bg1"/>
                </a:gs>
                <a:gs pos="100000">
                  <a:schemeClr val="accent1">
                    <a:lumMod val="20000"/>
                    <a:lumOff val="80000"/>
                  </a:schemeClr>
                </a:gs>
              </a:gsLst>
              <a:lin ang="5400000" scaled="1"/>
            </a:gradFill>
            <a:effectLst>
              <a:outerShdw blurRad="50800" dist="38100" dir="8100000" algn="tr" rotWithShape="0">
                <a:prstClr val="black">
                  <a:alpha val="40000"/>
                </a:prstClr>
              </a:outerShdw>
            </a:effectLst>
            <a:latin typeface="Roboto Black" panose="02000000000000000000" pitchFamily="2" charset="0"/>
            <a:ea typeface="Roboto Black" panose="02000000000000000000" pitchFamily="2" charset="0"/>
            <a:cs typeface="Calibri"/>
          </a:endParaRPr>
        </a:p>
      </xdr:txBody>
    </xdr:sp>
    <xdr:clientData/>
  </xdr:oneCellAnchor>
  <xdr:oneCellAnchor>
    <xdr:from>
      <xdr:col>4</xdr:col>
      <xdr:colOff>565199</xdr:colOff>
      <xdr:row>6</xdr:row>
      <xdr:rowOff>150984</xdr:rowOff>
    </xdr:from>
    <xdr:ext cx="1950441" cy="646395"/>
    <xdr:sp macro="" textlink="Processing!B2">
      <xdr:nvSpPr>
        <xdr:cNvPr id="6178" name="TextBox 6177">
          <a:extLst>
            <a:ext uri="{FF2B5EF4-FFF2-40B4-BE49-F238E27FC236}">
              <a16:creationId xmlns:a16="http://schemas.microsoft.com/office/drawing/2014/main" id="{00000000-0008-0000-0300-000022180000}"/>
            </a:ext>
          </a:extLst>
        </xdr:cNvPr>
        <xdr:cNvSpPr txBox="1"/>
      </xdr:nvSpPr>
      <xdr:spPr>
        <a:xfrm>
          <a:off x="3003599" y="1248264"/>
          <a:ext cx="1950441" cy="646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D4499758-5FC7-4408-BDCF-AA449C3D9C81}" type="TxLink">
            <a:rPr lang="en-US" sz="3600" b="0" i="0" u="none" strike="noStrike">
              <a:gradFill>
                <a:gsLst>
                  <a:gs pos="0">
                    <a:schemeClr val="bg1"/>
                  </a:gs>
                  <a:gs pos="100000">
                    <a:schemeClr val="accent1">
                      <a:lumMod val="20000"/>
                      <a:lumOff val="80000"/>
                    </a:schemeClr>
                  </a:gs>
                </a:gsLst>
                <a:lin ang="5400000" scaled="1"/>
              </a:gradFill>
              <a:effectLst>
                <a:outerShdw blurRad="50800" dist="38100" dir="8100000" algn="tr" rotWithShape="0">
                  <a:prstClr val="black">
                    <a:alpha val="40000"/>
                  </a:prstClr>
                </a:outerShdw>
              </a:effectLst>
              <a:latin typeface="Roboto Black" panose="02000000000000000000" pitchFamily="2" charset="0"/>
              <a:ea typeface="Roboto Black" panose="02000000000000000000" pitchFamily="2" charset="0"/>
              <a:cs typeface="Calibri"/>
            </a:rPr>
            <a:pPr marL="0" indent="0" algn="ctr"/>
            <a:t> 9,283 </a:t>
          </a:fld>
          <a:endParaRPr lang="en-US" sz="3600" b="0" i="0" u="none" strike="noStrike">
            <a:gradFill>
              <a:gsLst>
                <a:gs pos="0">
                  <a:schemeClr val="bg1"/>
                </a:gs>
                <a:gs pos="100000">
                  <a:schemeClr val="accent1">
                    <a:lumMod val="20000"/>
                    <a:lumOff val="80000"/>
                  </a:schemeClr>
                </a:gs>
              </a:gsLst>
              <a:lin ang="5400000" scaled="1"/>
            </a:gradFill>
            <a:effectLst>
              <a:outerShdw blurRad="50800" dist="38100" dir="8100000" algn="tr" rotWithShape="0">
                <a:prstClr val="black">
                  <a:alpha val="40000"/>
                </a:prstClr>
              </a:outerShdw>
            </a:effectLst>
            <a:latin typeface="Roboto Black" panose="02000000000000000000" pitchFamily="2" charset="0"/>
            <a:ea typeface="Roboto Black" panose="02000000000000000000" pitchFamily="2" charset="0"/>
            <a:cs typeface="Calibri"/>
          </a:endParaRPr>
        </a:p>
      </xdr:txBody>
    </xdr:sp>
    <xdr:clientData/>
  </xdr:oneCellAnchor>
  <xdr:oneCellAnchor>
    <xdr:from>
      <xdr:col>8</xdr:col>
      <xdr:colOff>281447</xdr:colOff>
      <xdr:row>6</xdr:row>
      <xdr:rowOff>150984</xdr:rowOff>
    </xdr:from>
    <xdr:ext cx="1950441" cy="646395"/>
    <xdr:sp macro="" textlink="Processing!C2">
      <xdr:nvSpPr>
        <xdr:cNvPr id="6179" name="TextBox 6178">
          <a:extLst>
            <a:ext uri="{FF2B5EF4-FFF2-40B4-BE49-F238E27FC236}">
              <a16:creationId xmlns:a16="http://schemas.microsoft.com/office/drawing/2014/main" id="{00000000-0008-0000-0300-000023180000}"/>
            </a:ext>
          </a:extLst>
        </xdr:cNvPr>
        <xdr:cNvSpPr txBox="1"/>
      </xdr:nvSpPr>
      <xdr:spPr>
        <a:xfrm>
          <a:off x="5158247" y="1248264"/>
          <a:ext cx="1950441" cy="646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307E56C0-4460-49EA-A5D1-609ADD56AD12}" type="TxLink">
            <a:rPr lang="en-US" sz="3600" b="0" i="0" u="none" strike="noStrike">
              <a:gradFill>
                <a:gsLst>
                  <a:gs pos="0">
                    <a:schemeClr val="bg1"/>
                  </a:gs>
                  <a:gs pos="100000">
                    <a:schemeClr val="accent1">
                      <a:lumMod val="20000"/>
                      <a:lumOff val="80000"/>
                    </a:schemeClr>
                  </a:gs>
                </a:gsLst>
                <a:lin ang="5400000" scaled="1"/>
              </a:gradFill>
              <a:effectLst>
                <a:outerShdw blurRad="50800" dist="38100" dir="8100000" algn="tr" rotWithShape="0">
                  <a:prstClr val="black">
                    <a:alpha val="40000"/>
                  </a:prstClr>
                </a:outerShdw>
              </a:effectLst>
              <a:latin typeface="Roboto Black" panose="02000000000000000000" pitchFamily="2" charset="0"/>
              <a:ea typeface="Roboto Black" panose="02000000000000000000" pitchFamily="2" charset="0"/>
              <a:cs typeface="Calibri"/>
            </a:rPr>
            <a:pPr marL="0" indent="0" algn="ctr"/>
            <a:t>$543K</a:t>
          </a:fld>
          <a:endParaRPr lang="en-US" sz="3600" b="0" i="0" u="none" strike="noStrike">
            <a:gradFill>
              <a:gsLst>
                <a:gs pos="0">
                  <a:schemeClr val="bg1"/>
                </a:gs>
                <a:gs pos="100000">
                  <a:schemeClr val="accent1">
                    <a:lumMod val="20000"/>
                    <a:lumOff val="80000"/>
                  </a:schemeClr>
                </a:gs>
              </a:gsLst>
              <a:lin ang="5400000" scaled="1"/>
            </a:gradFill>
            <a:effectLst>
              <a:outerShdw blurRad="50800" dist="38100" dir="8100000" algn="tr" rotWithShape="0">
                <a:prstClr val="black">
                  <a:alpha val="40000"/>
                </a:prstClr>
              </a:outerShdw>
            </a:effectLst>
            <a:latin typeface="Roboto Black" panose="02000000000000000000" pitchFamily="2" charset="0"/>
            <a:ea typeface="Roboto Black" panose="02000000000000000000" pitchFamily="2" charset="0"/>
            <a:cs typeface="Calibri"/>
          </a:endParaRPr>
        </a:p>
      </xdr:txBody>
    </xdr:sp>
    <xdr:clientData/>
  </xdr:oneCellAnchor>
  <xdr:oneCellAnchor>
    <xdr:from>
      <xdr:col>12</xdr:col>
      <xdr:colOff>43759</xdr:colOff>
      <xdr:row>6</xdr:row>
      <xdr:rowOff>150984</xdr:rowOff>
    </xdr:from>
    <xdr:ext cx="1950441" cy="646395"/>
    <xdr:sp macro="" textlink="Processing!D2">
      <xdr:nvSpPr>
        <xdr:cNvPr id="6180" name="TextBox 6179">
          <a:extLst>
            <a:ext uri="{FF2B5EF4-FFF2-40B4-BE49-F238E27FC236}">
              <a16:creationId xmlns:a16="http://schemas.microsoft.com/office/drawing/2014/main" id="{00000000-0008-0000-0300-000024180000}"/>
            </a:ext>
          </a:extLst>
        </xdr:cNvPr>
        <xdr:cNvSpPr txBox="1"/>
      </xdr:nvSpPr>
      <xdr:spPr>
        <a:xfrm>
          <a:off x="7358959" y="1248264"/>
          <a:ext cx="1950441" cy="646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8AE195B8-970F-4581-A3E7-F94ED60F8C20}" type="TxLink">
            <a:rPr lang="en-US" sz="3600" b="0" i="0" u="none" strike="noStrike">
              <a:gradFill>
                <a:gsLst>
                  <a:gs pos="0">
                    <a:schemeClr val="bg1"/>
                  </a:gs>
                  <a:gs pos="100000">
                    <a:schemeClr val="accent1">
                      <a:lumMod val="20000"/>
                      <a:lumOff val="80000"/>
                    </a:schemeClr>
                  </a:gs>
                </a:gsLst>
                <a:lin ang="5400000" scaled="1"/>
              </a:gradFill>
              <a:effectLst>
                <a:outerShdw blurRad="50800" dist="38100" dir="8100000" algn="tr" rotWithShape="0">
                  <a:prstClr val="black">
                    <a:alpha val="40000"/>
                  </a:prstClr>
                </a:outerShdw>
              </a:effectLst>
              <a:latin typeface="Roboto Black" panose="02000000000000000000" pitchFamily="2" charset="0"/>
              <a:ea typeface="Roboto Black" panose="02000000000000000000" pitchFamily="2" charset="0"/>
              <a:cs typeface="Calibri"/>
            </a:rPr>
            <a:pPr marL="0" indent="0" algn="ctr"/>
            <a:t>14</a:t>
          </a:fld>
          <a:endParaRPr lang="en-US" sz="3600" b="0" i="0" u="none" strike="noStrike">
            <a:gradFill>
              <a:gsLst>
                <a:gs pos="0">
                  <a:schemeClr val="bg1"/>
                </a:gs>
                <a:gs pos="100000">
                  <a:schemeClr val="accent1">
                    <a:lumMod val="20000"/>
                    <a:lumOff val="80000"/>
                  </a:schemeClr>
                </a:gs>
              </a:gsLst>
              <a:lin ang="5400000" scaled="1"/>
            </a:gradFill>
            <a:effectLst>
              <a:outerShdw blurRad="50800" dist="38100" dir="8100000" algn="tr" rotWithShape="0">
                <a:prstClr val="black">
                  <a:alpha val="40000"/>
                </a:prstClr>
              </a:outerShdw>
            </a:effectLst>
            <a:latin typeface="Roboto Black" panose="02000000000000000000" pitchFamily="2" charset="0"/>
            <a:ea typeface="Roboto Black" panose="02000000000000000000" pitchFamily="2" charset="0"/>
            <a:cs typeface="Calibri"/>
          </a:endParaRPr>
        </a:p>
      </xdr:txBody>
    </xdr:sp>
    <xdr:clientData/>
  </xdr:oneCellAnchor>
  <xdr:twoCellAnchor editAs="oneCell">
    <xdr:from>
      <xdr:col>1</xdr:col>
      <xdr:colOff>292698</xdr:colOff>
      <xdr:row>23</xdr:row>
      <xdr:rowOff>6825</xdr:rowOff>
    </xdr:from>
    <xdr:to>
      <xdr:col>10</xdr:col>
      <xdr:colOff>55591</xdr:colOff>
      <xdr:row>24</xdr:row>
      <xdr:rowOff>163286</xdr:rowOff>
    </xdr:to>
    <mc:AlternateContent xmlns:mc="http://schemas.openxmlformats.org/markup-compatibility/2006" xmlns:a14="http://schemas.microsoft.com/office/drawing/2010/main">
      <mc:Choice Requires="a14">
        <xdr:graphicFrame macro="">
          <xdr:nvGraphicFramePr>
            <xdr:cNvPr id="6184" name="Months (Order_Date) 1">
              <a:extLst>
                <a:ext uri="{FF2B5EF4-FFF2-40B4-BE49-F238E27FC236}">
                  <a16:creationId xmlns:a16="http://schemas.microsoft.com/office/drawing/2014/main" id="{00000000-0008-0000-0300-000028180000}"/>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905019" y="4231843"/>
              <a:ext cx="5273786" cy="340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367393</xdr:colOff>
      <xdr:row>5</xdr:row>
      <xdr:rowOff>170089</xdr:rowOff>
    </xdr:from>
    <xdr:to>
      <xdr:col>20</xdr:col>
      <xdr:colOff>34017</xdr:colOff>
      <xdr:row>18</xdr:row>
      <xdr:rowOff>8616</xdr:rowOff>
    </xdr:to>
    <xdr:graphicFrame macro="">
      <xdr:nvGraphicFramePr>
        <xdr:cNvPr id="6185" name="Chart 6184">
          <a:extLst>
            <a:ext uri="{FF2B5EF4-FFF2-40B4-BE49-F238E27FC236}">
              <a16:creationId xmlns:a16="http://schemas.microsoft.com/office/drawing/2014/main" id="{00000000-0008-0000-0300-0000291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425221</xdr:colOff>
      <xdr:row>4</xdr:row>
      <xdr:rowOff>144693</xdr:rowOff>
    </xdr:from>
    <xdr:to>
      <xdr:col>19</xdr:col>
      <xdr:colOff>470549</xdr:colOff>
      <xdr:row>7</xdr:row>
      <xdr:rowOff>11661</xdr:rowOff>
    </xdr:to>
    <xdr:sp macro="" textlink="Processing!B100">
      <xdr:nvSpPr>
        <xdr:cNvPr id="6186" name="TextBox 6185">
          <a:extLst>
            <a:ext uri="{FF2B5EF4-FFF2-40B4-BE49-F238E27FC236}">
              <a16:creationId xmlns:a16="http://schemas.microsoft.com/office/drawing/2014/main" id="{00000000-0008-0000-0300-00002A180000}"/>
            </a:ext>
          </a:extLst>
        </xdr:cNvPr>
        <xdr:cNvSpPr txBox="1"/>
      </xdr:nvSpPr>
      <xdr:spPr>
        <a:xfrm>
          <a:off x="11447007" y="879479"/>
          <a:ext cx="657649" cy="418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023D6FE-F654-4D27-BECD-7FB3BA43F092}" type="TxLink">
            <a:rPr lang="en-US" sz="1600" b="0" i="0" u="none" strike="noStrike">
              <a:solidFill>
                <a:srgbClr val="00B050"/>
              </a:solidFill>
              <a:latin typeface="Calibri"/>
              <a:ea typeface="+mn-ea"/>
              <a:cs typeface="Calibri"/>
            </a:rPr>
            <a:pPr marL="0" indent="0" algn="r"/>
            <a:t>+15%</a:t>
          </a:fld>
          <a:endParaRPr lang="ru-RU" sz="1600" b="0" i="0" u="none" strike="noStrike">
            <a:solidFill>
              <a:srgbClr val="00B050"/>
            </a:solidFill>
            <a:latin typeface="Calibri"/>
            <a:ea typeface="+mn-ea"/>
            <a:cs typeface="Calibri"/>
          </a:endParaRPr>
        </a:p>
      </xdr:txBody>
    </xdr:sp>
    <xdr:clientData/>
  </xdr:twoCellAnchor>
  <xdr:twoCellAnchor>
    <xdr:from>
      <xdr:col>18</xdr:col>
      <xdr:colOff>425221</xdr:colOff>
      <xdr:row>4</xdr:row>
      <xdr:rowOff>144693</xdr:rowOff>
    </xdr:from>
    <xdr:to>
      <xdr:col>19</xdr:col>
      <xdr:colOff>470549</xdr:colOff>
      <xdr:row>7</xdr:row>
      <xdr:rowOff>11661</xdr:rowOff>
    </xdr:to>
    <xdr:sp macro="" textlink="Processing!C100">
      <xdr:nvSpPr>
        <xdr:cNvPr id="6187" name="TextBox 6186">
          <a:extLst>
            <a:ext uri="{FF2B5EF4-FFF2-40B4-BE49-F238E27FC236}">
              <a16:creationId xmlns:a16="http://schemas.microsoft.com/office/drawing/2014/main" id="{00000000-0008-0000-0300-00002B180000}"/>
            </a:ext>
          </a:extLst>
        </xdr:cNvPr>
        <xdr:cNvSpPr txBox="1"/>
      </xdr:nvSpPr>
      <xdr:spPr>
        <a:xfrm>
          <a:off x="11447007" y="879479"/>
          <a:ext cx="657649" cy="418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B7FCA0-0B8D-4537-AF96-F20BDBC90A3F}" type="TxLink">
            <a:rPr lang="en-US" sz="1600" b="0" i="0" u="none" strike="noStrike">
              <a:solidFill>
                <a:srgbClr val="FF0000"/>
              </a:solidFill>
              <a:latin typeface="Calibri"/>
              <a:ea typeface="+mn-ea"/>
              <a:cs typeface="Calibri"/>
            </a:rPr>
            <a:pPr marL="0" indent="0" algn="r"/>
            <a:t> </a:t>
          </a:fld>
          <a:endParaRPr lang="ru-RU" sz="1600" b="0" i="0" u="none" strike="noStrike">
            <a:solidFill>
              <a:srgbClr val="FF0000"/>
            </a:solidFill>
            <a:latin typeface="Calibri"/>
            <a:ea typeface="+mn-ea"/>
            <a:cs typeface="Calibri"/>
          </a:endParaRPr>
        </a:p>
      </xdr:txBody>
    </xdr:sp>
    <xdr:clientData/>
  </xdr:twoCellAnchor>
  <xdr:twoCellAnchor>
    <xdr:from>
      <xdr:col>11</xdr:col>
      <xdr:colOff>373520</xdr:colOff>
      <xdr:row>13</xdr:row>
      <xdr:rowOff>54189</xdr:rowOff>
    </xdr:from>
    <xdr:to>
      <xdr:col>16</xdr:col>
      <xdr:colOff>22213</xdr:colOff>
      <xdr:row>24</xdr:row>
      <xdr:rowOff>149679</xdr:rowOff>
    </xdr:to>
    <xdr:grpSp>
      <xdr:nvGrpSpPr>
        <xdr:cNvPr id="6188" name="Group 6187">
          <a:extLst>
            <a:ext uri="{FF2B5EF4-FFF2-40B4-BE49-F238E27FC236}">
              <a16:creationId xmlns:a16="http://schemas.microsoft.com/office/drawing/2014/main" id="{00000000-0008-0000-0300-00002C180000}"/>
            </a:ext>
          </a:extLst>
        </xdr:cNvPr>
        <xdr:cNvGrpSpPr/>
      </xdr:nvGrpSpPr>
      <xdr:grpSpPr>
        <a:xfrm>
          <a:off x="7109056" y="2442243"/>
          <a:ext cx="2710300" cy="2116150"/>
          <a:chOff x="1838244" y="21516524"/>
          <a:chExt cx="2924114" cy="2283092"/>
        </a:xfrm>
      </xdr:grpSpPr>
      <xdr:sp macro="" textlink="">
        <xdr:nvSpPr>
          <xdr:cNvPr id="6189" name="Circle: Hollow 6188">
            <a:extLst>
              <a:ext uri="{FF2B5EF4-FFF2-40B4-BE49-F238E27FC236}">
                <a16:creationId xmlns:a16="http://schemas.microsoft.com/office/drawing/2014/main" id="{00000000-0008-0000-0300-00002D180000}"/>
              </a:ext>
            </a:extLst>
          </xdr:cNvPr>
          <xdr:cNvSpPr/>
        </xdr:nvSpPr>
        <xdr:spPr>
          <a:xfrm>
            <a:off x="2470567" y="21726738"/>
            <a:ext cx="1811866" cy="1811866"/>
          </a:xfrm>
          <a:prstGeom prst="donut">
            <a:avLst>
              <a:gd name="adj" fmla="val 17707"/>
            </a:avLst>
          </a:prstGeom>
          <a:solidFill>
            <a:srgbClr val="C7C5FF"/>
          </a:solidFill>
          <a:ln>
            <a:noFill/>
          </a:ln>
          <a:effectLst>
            <a:innerShdw blurRad="254000">
              <a:prstClr val="black">
                <a:alpha val="38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6190" name="Chart 6189">
            <a:extLst>
              <a:ext uri="{FF2B5EF4-FFF2-40B4-BE49-F238E27FC236}">
                <a16:creationId xmlns:a16="http://schemas.microsoft.com/office/drawing/2014/main" id="{00000000-0008-0000-0300-00002E180000}"/>
              </a:ext>
            </a:extLst>
          </xdr:cNvPr>
          <xdr:cNvGraphicFramePr/>
        </xdr:nvGraphicFramePr>
        <xdr:xfrm>
          <a:off x="1838244" y="21516524"/>
          <a:ext cx="2924114" cy="2283092"/>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12</xdr:col>
      <xdr:colOff>350205</xdr:colOff>
      <xdr:row>17</xdr:row>
      <xdr:rowOff>54191</xdr:rowOff>
    </xdr:from>
    <xdr:to>
      <xdr:col>15</xdr:col>
      <xdr:colOff>81643</xdr:colOff>
      <xdr:row>20</xdr:row>
      <xdr:rowOff>21261</xdr:rowOff>
    </xdr:to>
    <xdr:sp macro="" textlink="Processing!$B$107">
      <xdr:nvSpPr>
        <xdr:cNvPr id="6191" name="TextBox 6190">
          <a:extLst>
            <a:ext uri="{FF2B5EF4-FFF2-40B4-BE49-F238E27FC236}">
              <a16:creationId xmlns:a16="http://schemas.microsoft.com/office/drawing/2014/main" id="{00000000-0008-0000-0300-00002F180000}"/>
            </a:ext>
          </a:extLst>
        </xdr:cNvPr>
        <xdr:cNvSpPr txBox="1"/>
      </xdr:nvSpPr>
      <xdr:spPr>
        <a:xfrm>
          <a:off x="7698062" y="3177030"/>
          <a:ext cx="1568402"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256AC1-6AF6-4869-9561-86D44E78E17F}" type="TxLink">
            <a:rPr lang="en-US" sz="24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marL="0" indent="0" algn="ctr"/>
            <a:t> 22,432 </a:t>
          </a:fld>
          <a:endParaRPr lang="ru-RU" sz="24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10</xdr:col>
      <xdr:colOff>268563</xdr:colOff>
      <xdr:row>16</xdr:row>
      <xdr:rowOff>108618</xdr:rowOff>
    </xdr:from>
    <xdr:to>
      <xdr:col>10</xdr:col>
      <xdr:colOff>405723</xdr:colOff>
      <xdr:row>17</xdr:row>
      <xdr:rowOff>62082</xdr:rowOff>
    </xdr:to>
    <xdr:sp macro="" textlink="">
      <xdr:nvSpPr>
        <xdr:cNvPr id="6193" name="Oval 6192">
          <a:extLst>
            <a:ext uri="{FF2B5EF4-FFF2-40B4-BE49-F238E27FC236}">
              <a16:creationId xmlns:a16="http://schemas.microsoft.com/office/drawing/2014/main" id="{00000000-0008-0000-0300-000031180000}"/>
            </a:ext>
          </a:extLst>
        </xdr:cNvPr>
        <xdr:cNvSpPr/>
      </xdr:nvSpPr>
      <xdr:spPr>
        <a:xfrm>
          <a:off x="6391777" y="3047761"/>
          <a:ext cx="137160" cy="137160"/>
        </a:xfrm>
        <a:prstGeom prst="ellipse">
          <a:avLst/>
        </a:prstGeom>
        <a:gradFill>
          <a:gsLst>
            <a:gs pos="0">
              <a:srgbClr val="D56EE6"/>
            </a:gs>
            <a:gs pos="100000">
              <a:srgbClr val="C370F5"/>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268563</xdr:colOff>
      <xdr:row>18</xdr:row>
      <xdr:rowOff>47976</xdr:rowOff>
    </xdr:from>
    <xdr:to>
      <xdr:col>10</xdr:col>
      <xdr:colOff>405723</xdr:colOff>
      <xdr:row>19</xdr:row>
      <xdr:rowOff>1440</xdr:rowOff>
    </xdr:to>
    <xdr:sp macro="" textlink="">
      <xdr:nvSpPr>
        <xdr:cNvPr id="6194" name="Oval 6193">
          <a:extLst>
            <a:ext uri="{FF2B5EF4-FFF2-40B4-BE49-F238E27FC236}">
              <a16:creationId xmlns:a16="http://schemas.microsoft.com/office/drawing/2014/main" id="{00000000-0008-0000-0300-000032180000}"/>
            </a:ext>
          </a:extLst>
        </xdr:cNvPr>
        <xdr:cNvSpPr/>
      </xdr:nvSpPr>
      <xdr:spPr>
        <a:xfrm>
          <a:off x="6391777" y="3354512"/>
          <a:ext cx="137160" cy="137160"/>
        </a:xfrm>
        <a:prstGeom prst="ellipse">
          <a:avLst/>
        </a:prstGeom>
        <a:gradFill>
          <a:gsLst>
            <a:gs pos="0">
              <a:srgbClr val="5BD4E3"/>
            </a:gs>
            <a:gs pos="100000">
              <a:srgbClr val="5DB5FE"/>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268563</xdr:colOff>
      <xdr:row>19</xdr:row>
      <xdr:rowOff>171030</xdr:rowOff>
    </xdr:from>
    <xdr:to>
      <xdr:col>10</xdr:col>
      <xdr:colOff>405723</xdr:colOff>
      <xdr:row>20</xdr:row>
      <xdr:rowOff>124493</xdr:rowOff>
    </xdr:to>
    <xdr:sp macro="" textlink="">
      <xdr:nvSpPr>
        <xdr:cNvPr id="6195" name="Oval 6194">
          <a:extLst>
            <a:ext uri="{FF2B5EF4-FFF2-40B4-BE49-F238E27FC236}">
              <a16:creationId xmlns:a16="http://schemas.microsoft.com/office/drawing/2014/main" id="{00000000-0008-0000-0300-000033180000}"/>
            </a:ext>
          </a:extLst>
        </xdr:cNvPr>
        <xdr:cNvSpPr/>
      </xdr:nvSpPr>
      <xdr:spPr>
        <a:xfrm>
          <a:off x="6391777" y="3661262"/>
          <a:ext cx="137160" cy="137160"/>
        </a:xfrm>
        <a:prstGeom prst="ellipse">
          <a:avLst/>
        </a:prstGeom>
        <a:gradFill>
          <a:gsLst>
            <a:gs pos="0">
              <a:srgbClr val="7D76F6"/>
            </a:gs>
            <a:gs pos="100000">
              <a:srgbClr val="6C57EF"/>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346984</xdr:colOff>
      <xdr:row>16</xdr:row>
      <xdr:rowOff>61230</xdr:rowOff>
    </xdr:from>
    <xdr:to>
      <xdr:col>12</xdr:col>
      <xdr:colOff>227241</xdr:colOff>
      <xdr:row>17</xdr:row>
      <xdr:rowOff>115660</xdr:rowOff>
    </xdr:to>
    <xdr:sp macro="" textlink="Processing!A104">
      <xdr:nvSpPr>
        <xdr:cNvPr id="6197" name="TextBox 6196">
          <a:extLst>
            <a:ext uri="{FF2B5EF4-FFF2-40B4-BE49-F238E27FC236}">
              <a16:creationId xmlns:a16="http://schemas.microsoft.com/office/drawing/2014/main" id="{00000000-0008-0000-0300-000035180000}"/>
            </a:ext>
          </a:extLst>
        </xdr:cNvPr>
        <xdr:cNvSpPr txBox="1"/>
      </xdr:nvSpPr>
      <xdr:spPr>
        <a:xfrm>
          <a:off x="6470198" y="3000373"/>
          <a:ext cx="1104900"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B7ACC04-FF7F-4276-81EE-0D854B1CD8B4}" type="TxLink">
            <a:rPr lang="en-US" sz="1000" b="0" i="0" u="none" strike="noStrike">
              <a:solidFill>
                <a:srgbClr val="000000"/>
              </a:solidFill>
              <a:latin typeface="Calibri"/>
              <a:ea typeface="Verdana" panose="020B0604030504040204" pitchFamily="34" charset="0"/>
              <a:cs typeface="Calibri"/>
            </a:rPr>
            <a:pPr algn="l"/>
            <a:t>Accessories</a:t>
          </a:fld>
          <a:endParaRPr lang="ru-RU" sz="10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10</xdr:col>
      <xdr:colOff>346984</xdr:colOff>
      <xdr:row>17</xdr:row>
      <xdr:rowOff>176891</xdr:rowOff>
    </xdr:from>
    <xdr:to>
      <xdr:col>12</xdr:col>
      <xdr:colOff>227241</xdr:colOff>
      <xdr:row>19</xdr:row>
      <xdr:rowOff>47624</xdr:rowOff>
    </xdr:to>
    <xdr:sp macro="" textlink="Processing!A105">
      <xdr:nvSpPr>
        <xdr:cNvPr id="6198" name="TextBox 6197">
          <a:extLst>
            <a:ext uri="{FF2B5EF4-FFF2-40B4-BE49-F238E27FC236}">
              <a16:creationId xmlns:a16="http://schemas.microsoft.com/office/drawing/2014/main" id="{00000000-0008-0000-0300-000036180000}"/>
            </a:ext>
          </a:extLst>
        </xdr:cNvPr>
        <xdr:cNvSpPr txBox="1"/>
      </xdr:nvSpPr>
      <xdr:spPr>
        <a:xfrm>
          <a:off x="6470198" y="3299730"/>
          <a:ext cx="1104900"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F48DE2C-8867-4AC2-95BB-B90C72439D39}" type="TxLink">
            <a:rPr lang="en-US" sz="1000" b="0" i="0" u="none" strike="noStrike">
              <a:solidFill>
                <a:srgbClr val="000000"/>
              </a:solidFill>
              <a:latin typeface="Calibri"/>
              <a:ea typeface="Verdana" panose="020B0604030504040204" pitchFamily="34" charset="0"/>
              <a:cs typeface="Calibri"/>
            </a:rPr>
            <a:pPr algn="l"/>
            <a:t>Electronics</a:t>
          </a:fld>
          <a:endParaRPr lang="ru-RU" sz="10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10</xdr:col>
      <xdr:colOff>346984</xdr:colOff>
      <xdr:row>19</xdr:row>
      <xdr:rowOff>115658</xdr:rowOff>
    </xdr:from>
    <xdr:to>
      <xdr:col>12</xdr:col>
      <xdr:colOff>227241</xdr:colOff>
      <xdr:row>20</xdr:row>
      <xdr:rowOff>170087</xdr:rowOff>
    </xdr:to>
    <xdr:sp macro="" textlink="Processing!A106">
      <xdr:nvSpPr>
        <xdr:cNvPr id="6199" name="TextBox 6198">
          <a:extLst>
            <a:ext uri="{FF2B5EF4-FFF2-40B4-BE49-F238E27FC236}">
              <a16:creationId xmlns:a16="http://schemas.microsoft.com/office/drawing/2014/main" id="{00000000-0008-0000-0300-000037180000}"/>
            </a:ext>
          </a:extLst>
        </xdr:cNvPr>
        <xdr:cNvSpPr txBox="1"/>
      </xdr:nvSpPr>
      <xdr:spPr>
        <a:xfrm>
          <a:off x="6470198" y="3605890"/>
          <a:ext cx="1104900"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AED6F5E-FF72-47D3-941D-8604B66857AD}" type="TxLink">
            <a:rPr lang="en-US" sz="1000" b="0" i="0" u="none" strike="noStrike">
              <a:solidFill>
                <a:srgbClr val="000000"/>
              </a:solidFill>
              <a:latin typeface="Calibri"/>
              <a:ea typeface="Verdana" panose="020B0604030504040204" pitchFamily="34" charset="0"/>
              <a:cs typeface="Calibri"/>
            </a:rPr>
            <a:pPr algn="l"/>
            <a:t>Hardware</a:t>
          </a:fld>
          <a:endParaRPr lang="ru-RU" sz="10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11</xdr:col>
      <xdr:colOff>360585</xdr:colOff>
      <xdr:row>16</xdr:row>
      <xdr:rowOff>74838</xdr:rowOff>
    </xdr:from>
    <xdr:to>
      <xdr:col>13</xdr:col>
      <xdr:colOff>50342</xdr:colOff>
      <xdr:row>17</xdr:row>
      <xdr:rowOff>129268</xdr:rowOff>
    </xdr:to>
    <xdr:sp macro="" textlink="Processing!B104">
      <xdr:nvSpPr>
        <xdr:cNvPr id="6200" name="TextBox 6199">
          <a:extLst>
            <a:ext uri="{FF2B5EF4-FFF2-40B4-BE49-F238E27FC236}">
              <a16:creationId xmlns:a16="http://schemas.microsoft.com/office/drawing/2014/main" id="{00000000-0008-0000-0300-000038180000}"/>
            </a:ext>
          </a:extLst>
        </xdr:cNvPr>
        <xdr:cNvSpPr txBox="1"/>
      </xdr:nvSpPr>
      <xdr:spPr>
        <a:xfrm>
          <a:off x="7096121" y="3013981"/>
          <a:ext cx="914400"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DC9B936-C0AF-4F63-9C0F-273772767586}" type="TxLink">
            <a:rPr lang="en-US" sz="1100" b="0" i="0" u="none" strike="noStrike">
              <a:solidFill>
                <a:srgbClr val="000000"/>
              </a:solidFill>
              <a:latin typeface="Inter" panose="020B0502030000000004" pitchFamily="34" charset="0"/>
              <a:ea typeface="Inter" panose="020B0502030000000004" pitchFamily="34" charset="0"/>
              <a:cs typeface="Calibri"/>
            </a:rPr>
            <a:pPr algn="l"/>
            <a:t> 7,540 </a:t>
          </a:fld>
          <a:endParaRPr lang="ru-RU" sz="4000">
            <a:solidFill>
              <a:schemeClr val="tx1"/>
            </a:solidFill>
            <a:latin typeface="Inter" panose="020B0502030000000004" pitchFamily="34" charset="0"/>
            <a:ea typeface="Inter" panose="020B0502030000000004" pitchFamily="34" charset="0"/>
            <a:cs typeface="Calibri" panose="020F0502020204030204" pitchFamily="34" charset="0"/>
          </a:endParaRPr>
        </a:p>
      </xdr:txBody>
    </xdr:sp>
    <xdr:clientData/>
  </xdr:twoCellAnchor>
  <xdr:twoCellAnchor>
    <xdr:from>
      <xdr:col>11</xdr:col>
      <xdr:colOff>360585</xdr:colOff>
      <xdr:row>18</xdr:row>
      <xdr:rowOff>6802</xdr:rowOff>
    </xdr:from>
    <xdr:to>
      <xdr:col>13</xdr:col>
      <xdr:colOff>50342</xdr:colOff>
      <xdr:row>19</xdr:row>
      <xdr:rowOff>61232</xdr:rowOff>
    </xdr:to>
    <xdr:sp macro="" textlink="Processing!B105">
      <xdr:nvSpPr>
        <xdr:cNvPr id="6201" name="TextBox 6200">
          <a:extLst>
            <a:ext uri="{FF2B5EF4-FFF2-40B4-BE49-F238E27FC236}">
              <a16:creationId xmlns:a16="http://schemas.microsoft.com/office/drawing/2014/main" id="{00000000-0008-0000-0300-000039180000}"/>
            </a:ext>
          </a:extLst>
        </xdr:cNvPr>
        <xdr:cNvSpPr txBox="1"/>
      </xdr:nvSpPr>
      <xdr:spPr>
        <a:xfrm>
          <a:off x="7096121" y="3313338"/>
          <a:ext cx="914400"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3BA5596-03BE-4FF2-9835-2A6FFE20A1CE}" type="TxLink">
            <a:rPr lang="en-US" sz="1100" b="0" i="0" u="none" strike="noStrike">
              <a:solidFill>
                <a:srgbClr val="000000"/>
              </a:solidFill>
              <a:latin typeface="Inter" panose="020B0502030000000004" pitchFamily="34" charset="0"/>
              <a:ea typeface="Inter" panose="020B0502030000000004" pitchFamily="34" charset="0"/>
              <a:cs typeface="Calibri"/>
            </a:rPr>
            <a:pPr algn="l"/>
            <a:t> 8,166 </a:t>
          </a:fld>
          <a:endParaRPr lang="ru-RU" sz="4000">
            <a:solidFill>
              <a:schemeClr val="tx1"/>
            </a:solidFill>
            <a:latin typeface="Inter" panose="020B0502030000000004" pitchFamily="34" charset="0"/>
            <a:ea typeface="Inter" panose="020B0502030000000004" pitchFamily="34" charset="0"/>
            <a:cs typeface="Calibri" panose="020F0502020204030204" pitchFamily="34" charset="0"/>
          </a:endParaRPr>
        </a:p>
      </xdr:txBody>
    </xdr:sp>
    <xdr:clientData/>
  </xdr:twoCellAnchor>
  <xdr:twoCellAnchor>
    <xdr:from>
      <xdr:col>11</xdr:col>
      <xdr:colOff>360585</xdr:colOff>
      <xdr:row>19</xdr:row>
      <xdr:rowOff>129266</xdr:rowOff>
    </xdr:from>
    <xdr:to>
      <xdr:col>13</xdr:col>
      <xdr:colOff>50342</xdr:colOff>
      <xdr:row>20</xdr:row>
      <xdr:rowOff>183695</xdr:rowOff>
    </xdr:to>
    <xdr:sp macro="" textlink="Processing!B106">
      <xdr:nvSpPr>
        <xdr:cNvPr id="6202" name="TextBox 6201">
          <a:extLst>
            <a:ext uri="{FF2B5EF4-FFF2-40B4-BE49-F238E27FC236}">
              <a16:creationId xmlns:a16="http://schemas.microsoft.com/office/drawing/2014/main" id="{00000000-0008-0000-0300-00003A180000}"/>
            </a:ext>
          </a:extLst>
        </xdr:cNvPr>
        <xdr:cNvSpPr txBox="1"/>
      </xdr:nvSpPr>
      <xdr:spPr>
        <a:xfrm>
          <a:off x="7096121" y="3619498"/>
          <a:ext cx="914400"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D6B2FE8-9EE5-42FC-8071-E0379FF9821D}" type="TxLink">
            <a:rPr lang="en-US" sz="1100" b="0" i="0" u="none" strike="noStrike">
              <a:solidFill>
                <a:srgbClr val="000000"/>
              </a:solidFill>
              <a:latin typeface="Inter" panose="020B0502030000000004" pitchFamily="34" charset="0"/>
              <a:ea typeface="Inter" panose="020B0502030000000004" pitchFamily="34" charset="0"/>
              <a:cs typeface="Calibri"/>
            </a:rPr>
            <a:pPr algn="l"/>
            <a:t> 6,726 </a:t>
          </a:fld>
          <a:endParaRPr lang="ru-RU" sz="4000">
            <a:solidFill>
              <a:schemeClr val="tx1"/>
            </a:solidFill>
            <a:latin typeface="Inter" panose="020B0502030000000004" pitchFamily="34" charset="0"/>
            <a:ea typeface="Inter" panose="020B0502030000000004" pitchFamily="34" charset="0"/>
            <a:cs typeface="Calibri" panose="020F0502020204030204" pitchFamily="34" charset="0"/>
          </a:endParaRPr>
        </a:p>
      </xdr:txBody>
    </xdr:sp>
    <xdr:clientData/>
  </xdr:twoCellAnchor>
  <xdr:twoCellAnchor>
    <xdr:from>
      <xdr:col>5</xdr:col>
      <xdr:colOff>394607</xdr:colOff>
      <xdr:row>1</xdr:row>
      <xdr:rowOff>0</xdr:rowOff>
    </xdr:from>
    <xdr:to>
      <xdr:col>7</xdr:col>
      <xdr:colOff>564696</xdr:colOff>
      <xdr:row>3</xdr:row>
      <xdr:rowOff>163286</xdr:rowOff>
    </xdr:to>
    <xdr:sp macro="" textlink="">
      <xdr:nvSpPr>
        <xdr:cNvPr id="6210" name="Rectangle 6209">
          <a:hlinkClick xmlns:r="http://schemas.openxmlformats.org/officeDocument/2006/relationships" r:id="rId8"/>
          <a:extLst>
            <a:ext uri="{FF2B5EF4-FFF2-40B4-BE49-F238E27FC236}">
              <a16:creationId xmlns:a16="http://schemas.microsoft.com/office/drawing/2014/main" id="{00000000-0008-0000-0300-000042180000}"/>
            </a:ext>
          </a:extLst>
        </xdr:cNvPr>
        <xdr:cNvSpPr/>
      </xdr:nvSpPr>
      <xdr:spPr>
        <a:xfrm>
          <a:off x="3456214" y="183696"/>
          <a:ext cx="1394732" cy="53067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27214</xdr:colOff>
      <xdr:row>1</xdr:row>
      <xdr:rowOff>0</xdr:rowOff>
    </xdr:from>
    <xdr:to>
      <xdr:col>10</xdr:col>
      <xdr:colOff>136071</xdr:colOff>
      <xdr:row>3</xdr:row>
      <xdr:rowOff>163286</xdr:rowOff>
    </xdr:to>
    <xdr:sp macro="" textlink="">
      <xdr:nvSpPr>
        <xdr:cNvPr id="6211" name="Rectangle 6210">
          <a:hlinkClick xmlns:r="http://schemas.openxmlformats.org/officeDocument/2006/relationships" r:id="rId9"/>
          <a:extLst>
            <a:ext uri="{FF2B5EF4-FFF2-40B4-BE49-F238E27FC236}">
              <a16:creationId xmlns:a16="http://schemas.microsoft.com/office/drawing/2014/main" id="{00000000-0008-0000-0300-000043180000}"/>
            </a:ext>
          </a:extLst>
        </xdr:cNvPr>
        <xdr:cNvSpPr/>
      </xdr:nvSpPr>
      <xdr:spPr>
        <a:xfrm>
          <a:off x="4925785" y="183696"/>
          <a:ext cx="1333500" cy="53067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224517</xdr:colOff>
      <xdr:row>1</xdr:row>
      <xdr:rowOff>0</xdr:rowOff>
    </xdr:from>
    <xdr:to>
      <xdr:col>12</xdr:col>
      <xdr:colOff>333374</xdr:colOff>
      <xdr:row>3</xdr:row>
      <xdr:rowOff>163286</xdr:rowOff>
    </xdr:to>
    <xdr:sp macro="" textlink="">
      <xdr:nvSpPr>
        <xdr:cNvPr id="6212" name="Rectangle 6211">
          <a:hlinkClick xmlns:r="http://schemas.openxmlformats.org/officeDocument/2006/relationships" r:id="rId10"/>
          <a:extLst>
            <a:ext uri="{FF2B5EF4-FFF2-40B4-BE49-F238E27FC236}">
              <a16:creationId xmlns:a16="http://schemas.microsoft.com/office/drawing/2014/main" id="{00000000-0008-0000-0300-000044180000}"/>
            </a:ext>
          </a:extLst>
        </xdr:cNvPr>
        <xdr:cNvSpPr/>
      </xdr:nvSpPr>
      <xdr:spPr>
        <a:xfrm>
          <a:off x="6347731" y="183696"/>
          <a:ext cx="1333500" cy="53067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415017</xdr:colOff>
      <xdr:row>1</xdr:row>
      <xdr:rowOff>0</xdr:rowOff>
    </xdr:from>
    <xdr:to>
      <xdr:col>14</xdr:col>
      <xdr:colOff>523874</xdr:colOff>
      <xdr:row>3</xdr:row>
      <xdr:rowOff>163286</xdr:rowOff>
    </xdr:to>
    <xdr:sp macro="" textlink="">
      <xdr:nvSpPr>
        <xdr:cNvPr id="6213" name="Rectangle 6212">
          <a:hlinkClick xmlns:r="http://schemas.openxmlformats.org/officeDocument/2006/relationships" r:id="rId11"/>
          <a:extLst>
            <a:ext uri="{FF2B5EF4-FFF2-40B4-BE49-F238E27FC236}">
              <a16:creationId xmlns:a16="http://schemas.microsoft.com/office/drawing/2014/main" id="{00000000-0008-0000-0300-000045180000}"/>
            </a:ext>
          </a:extLst>
        </xdr:cNvPr>
        <xdr:cNvSpPr/>
      </xdr:nvSpPr>
      <xdr:spPr>
        <a:xfrm>
          <a:off x="7762874" y="183696"/>
          <a:ext cx="1333500" cy="53067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27214</xdr:colOff>
      <xdr:row>1</xdr:row>
      <xdr:rowOff>0</xdr:rowOff>
    </xdr:from>
    <xdr:to>
      <xdr:col>17</xdr:col>
      <xdr:colOff>136071</xdr:colOff>
      <xdr:row>3</xdr:row>
      <xdr:rowOff>163286</xdr:rowOff>
    </xdr:to>
    <xdr:sp macro="" textlink="">
      <xdr:nvSpPr>
        <xdr:cNvPr id="6214" name="Rectangle 6213">
          <a:hlinkClick xmlns:r="http://schemas.openxmlformats.org/officeDocument/2006/relationships" r:id="rId12"/>
          <a:extLst>
            <a:ext uri="{FF2B5EF4-FFF2-40B4-BE49-F238E27FC236}">
              <a16:creationId xmlns:a16="http://schemas.microsoft.com/office/drawing/2014/main" id="{00000000-0008-0000-0300-000046180000}"/>
            </a:ext>
          </a:extLst>
        </xdr:cNvPr>
        <xdr:cNvSpPr/>
      </xdr:nvSpPr>
      <xdr:spPr>
        <a:xfrm>
          <a:off x="9212035" y="183696"/>
          <a:ext cx="1333500" cy="53067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487680</xdr:colOff>
      <xdr:row>0</xdr:row>
      <xdr:rowOff>38100</xdr:rowOff>
    </xdr:from>
    <xdr:to>
      <xdr:col>2</xdr:col>
      <xdr:colOff>495300</xdr:colOff>
      <xdr:row>3</xdr:row>
      <xdr:rowOff>93470</xdr:rowOff>
    </xdr:to>
    <xdr:grpSp>
      <xdr:nvGrpSpPr>
        <xdr:cNvPr id="2" name="Graphic 4">
          <a:hlinkClick xmlns:r="http://schemas.openxmlformats.org/officeDocument/2006/relationships" r:id="rId1"/>
          <a:extLst>
            <a:ext uri="{FF2B5EF4-FFF2-40B4-BE49-F238E27FC236}">
              <a16:creationId xmlns:a16="http://schemas.microsoft.com/office/drawing/2014/main" id="{00000000-0008-0000-0400-000002000000}"/>
            </a:ext>
          </a:extLst>
        </xdr:cNvPr>
        <xdr:cNvGrpSpPr/>
      </xdr:nvGrpSpPr>
      <xdr:grpSpPr>
        <a:xfrm flipH="1">
          <a:off x="698695" y="38100"/>
          <a:ext cx="746174" cy="600493"/>
          <a:chOff x="12988652" y="613473"/>
          <a:chExt cx="758543" cy="613199"/>
        </a:xfrm>
        <a:solidFill>
          <a:schemeClr val="bg1"/>
        </a:solidFill>
        <a:effectLst>
          <a:glow rad="63500">
            <a:schemeClr val="accent1">
              <a:satMod val="175000"/>
              <a:alpha val="40000"/>
            </a:schemeClr>
          </a:glow>
        </a:effectLst>
      </xdr:grpSpPr>
      <xdr:sp macro="" textlink="">
        <xdr:nvSpPr>
          <xdr:cNvPr id="3" name="Freeform: Shape 2">
            <a:extLst>
              <a:ext uri="{FF2B5EF4-FFF2-40B4-BE49-F238E27FC236}">
                <a16:creationId xmlns:a16="http://schemas.microsoft.com/office/drawing/2014/main" id="{00000000-0008-0000-0400-000003000000}"/>
              </a:ext>
            </a:extLst>
          </xdr:cNvPr>
          <xdr:cNvSpPr/>
        </xdr:nvSpPr>
        <xdr:spPr>
          <a:xfrm>
            <a:off x="13078748" y="710706"/>
            <a:ext cx="668447" cy="515967"/>
          </a:xfrm>
          <a:custGeom>
            <a:avLst/>
            <a:gdLst>
              <a:gd name="connsiteX0" fmla="*/ 675 w 668447"/>
              <a:gd name="connsiteY0" fmla="*/ 260893 h 515967"/>
              <a:gd name="connsiteX1" fmla="*/ 675 w 668447"/>
              <a:gd name="connsiteY1" fmla="*/ 439258 h 515967"/>
              <a:gd name="connsiteX2" fmla="*/ 77767 w 668447"/>
              <a:gd name="connsiteY2" fmla="*/ 515789 h 515967"/>
              <a:gd name="connsiteX3" fmla="*/ 597360 w 668447"/>
              <a:gd name="connsiteY3" fmla="*/ 515789 h 515967"/>
              <a:gd name="connsiteX4" fmla="*/ 668462 w 668447"/>
              <a:gd name="connsiteY4" fmla="*/ 437761 h 515967"/>
              <a:gd name="connsiteX5" fmla="*/ 668462 w 668447"/>
              <a:gd name="connsiteY5" fmla="*/ 76731 h 515967"/>
              <a:gd name="connsiteX6" fmla="*/ 609478 w 668447"/>
              <a:gd name="connsiteY6" fmla="*/ 6 h 515967"/>
              <a:gd name="connsiteX7" fmla="*/ 356687 w 668447"/>
              <a:gd name="connsiteY7" fmla="*/ 6 h 515967"/>
              <a:gd name="connsiteX8" fmla="*/ 442004 w 668447"/>
              <a:gd name="connsiteY8" fmla="*/ 82327 h 515967"/>
              <a:gd name="connsiteX9" fmla="*/ 582651 w 668447"/>
              <a:gd name="connsiteY9" fmla="*/ 82327 h 515967"/>
              <a:gd name="connsiteX10" fmla="*/ 582651 w 668447"/>
              <a:gd name="connsiteY10" fmla="*/ 431196 h 515967"/>
              <a:gd name="connsiteX11" fmla="*/ 84049 w 668447"/>
              <a:gd name="connsiteY11" fmla="*/ 431196 h 515967"/>
              <a:gd name="connsiteX12" fmla="*/ 84049 w 668447"/>
              <a:gd name="connsiteY12" fmla="*/ 328303 h 5159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68447" h="515967">
                <a:moveTo>
                  <a:pt x="675" y="260893"/>
                </a:moveTo>
                <a:lnTo>
                  <a:pt x="675" y="439258"/>
                </a:lnTo>
                <a:cubicBezTo>
                  <a:pt x="-5296" y="502439"/>
                  <a:pt x="44978" y="517896"/>
                  <a:pt x="77767" y="515789"/>
                </a:cubicBezTo>
                <a:lnTo>
                  <a:pt x="597360" y="515789"/>
                </a:lnTo>
                <a:cubicBezTo>
                  <a:pt x="658001" y="511838"/>
                  <a:pt x="668462" y="475781"/>
                  <a:pt x="668462" y="437761"/>
                </a:cubicBezTo>
                <a:lnTo>
                  <a:pt x="668462" y="76731"/>
                </a:lnTo>
                <a:cubicBezTo>
                  <a:pt x="671308" y="26516"/>
                  <a:pt x="638485" y="2112"/>
                  <a:pt x="609478" y="6"/>
                </a:cubicBezTo>
                <a:lnTo>
                  <a:pt x="356687" y="6"/>
                </a:lnTo>
                <a:lnTo>
                  <a:pt x="442004" y="82327"/>
                </a:lnTo>
                <a:lnTo>
                  <a:pt x="582651" y="82327"/>
                </a:lnTo>
                <a:lnTo>
                  <a:pt x="582651" y="431196"/>
                </a:lnTo>
                <a:lnTo>
                  <a:pt x="84049" y="431196"/>
                </a:lnTo>
                <a:lnTo>
                  <a:pt x="84049" y="328303"/>
                </a:lnTo>
                <a:close/>
              </a:path>
            </a:pathLst>
          </a:custGeom>
          <a:grpFill/>
          <a:ln w="14865" cap="flat">
            <a:solidFill>
              <a:srgbClr val="206DF5"/>
            </a:solidFill>
            <a:prstDash val="solid"/>
            <a:miter/>
          </a:ln>
        </xdr:spPr>
        <xdr:txBody>
          <a:bodyPr rtlCol="0" anchor="ctr"/>
          <a:lstStyle/>
          <a:p>
            <a:endParaRPr lang="ru-RU"/>
          </a:p>
        </xdr:txBody>
      </xdr:sp>
      <xdr:sp macro="" textlink="">
        <xdr:nvSpPr>
          <xdr:cNvPr id="4" name="Freeform: Shape 3">
            <a:extLst>
              <a:ext uri="{FF2B5EF4-FFF2-40B4-BE49-F238E27FC236}">
                <a16:creationId xmlns:a16="http://schemas.microsoft.com/office/drawing/2014/main" id="{00000000-0008-0000-0400-000004000000}"/>
              </a:ext>
            </a:extLst>
          </xdr:cNvPr>
          <xdr:cNvSpPr/>
        </xdr:nvSpPr>
        <xdr:spPr>
          <a:xfrm>
            <a:off x="12988652" y="613473"/>
            <a:ext cx="570884" cy="421316"/>
          </a:xfrm>
          <a:custGeom>
            <a:avLst/>
            <a:gdLst>
              <a:gd name="connsiteX0" fmla="*/ 229737 w 570884"/>
              <a:gd name="connsiteY0" fmla="*/ -65 h 421316"/>
              <a:gd name="connsiteX1" fmla="*/ 119 w 570884"/>
              <a:gd name="connsiteY1" fmla="*/ 187421 h 421316"/>
              <a:gd name="connsiteX2" fmla="*/ 231844 w 570884"/>
              <a:gd name="connsiteY2" fmla="*/ 379120 h 421316"/>
              <a:gd name="connsiteX3" fmla="*/ 231844 w 570884"/>
              <a:gd name="connsiteY3" fmla="*/ 284324 h 421316"/>
              <a:gd name="connsiteX4" fmla="*/ 571004 w 570884"/>
              <a:gd name="connsiteY4" fmla="*/ 421252 h 421316"/>
              <a:gd name="connsiteX5" fmla="*/ 231844 w 570884"/>
              <a:gd name="connsiteY5" fmla="*/ 94731 h 421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70884" h="421316">
                <a:moveTo>
                  <a:pt x="229737" y="-65"/>
                </a:moveTo>
                <a:lnTo>
                  <a:pt x="119" y="187421"/>
                </a:lnTo>
                <a:lnTo>
                  <a:pt x="231844" y="379120"/>
                </a:lnTo>
                <a:lnTo>
                  <a:pt x="231844" y="284324"/>
                </a:lnTo>
                <a:cubicBezTo>
                  <a:pt x="348285" y="257264"/>
                  <a:pt x="485223" y="337279"/>
                  <a:pt x="571004" y="421252"/>
                </a:cubicBezTo>
                <a:cubicBezTo>
                  <a:pt x="527699" y="285344"/>
                  <a:pt x="496117" y="132256"/>
                  <a:pt x="231844" y="94731"/>
                </a:cubicBezTo>
                <a:close/>
              </a:path>
            </a:pathLst>
          </a:custGeom>
          <a:grpFill/>
          <a:ln w="14865" cap="flat">
            <a:solidFill>
              <a:srgbClr val="206DF5"/>
            </a:solidFill>
            <a:prstDash val="solid"/>
            <a:miter/>
          </a:ln>
        </xdr:spPr>
        <xdr:txBody>
          <a:bodyPr rtlCol="0" anchor="ctr"/>
          <a:lstStyle/>
          <a:p>
            <a:endParaRPr lang="ru-RU"/>
          </a:p>
        </xdr:txBody>
      </xdr:sp>
    </xdr:grpSp>
    <xdr:clientData/>
  </xdr:twoCellAnchor>
  <xdr:twoCellAnchor>
    <xdr:from>
      <xdr:col>3</xdr:col>
      <xdr:colOff>248528</xdr:colOff>
      <xdr:row>0</xdr:row>
      <xdr:rowOff>121920</xdr:rowOff>
    </xdr:from>
    <xdr:to>
      <xdr:col>13</xdr:col>
      <xdr:colOff>341727</xdr:colOff>
      <xdr:row>3</xdr:row>
      <xdr:rowOff>76200</xdr:rowOff>
    </xdr:to>
    <xdr:sp macro="" textlink="">
      <xdr:nvSpPr>
        <xdr:cNvPr id="5" name="Rectangle: Rounded Corners 4">
          <a:extLst>
            <a:ext uri="{FF2B5EF4-FFF2-40B4-BE49-F238E27FC236}">
              <a16:creationId xmlns:a16="http://schemas.microsoft.com/office/drawing/2014/main" id="{00000000-0008-0000-0400-000005000000}"/>
            </a:ext>
          </a:extLst>
        </xdr:cNvPr>
        <xdr:cNvSpPr/>
      </xdr:nvSpPr>
      <xdr:spPr>
        <a:xfrm>
          <a:off x="1878036" y="121920"/>
          <a:ext cx="8176260" cy="499403"/>
        </a:xfrm>
        <a:prstGeom prst="roundRect">
          <a:avLst>
            <a:gd name="adj" fmla="val 8621"/>
          </a:avLst>
        </a:prstGeom>
        <a:solidFill>
          <a:srgbClr val="113456"/>
        </a:solidFill>
        <a:ln>
          <a:noFill/>
        </a:ln>
        <a:effectLst>
          <a:outerShdw blurRad="50800" dist="2159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aseline="0">
              <a:solidFill>
                <a:schemeClr val="bg1"/>
              </a:solidFill>
              <a:latin typeface="Roboto Light" panose="02000000000000000000" pitchFamily="2" charset="0"/>
              <a:ea typeface="Roboto Light" panose="02000000000000000000" pitchFamily="2" charset="0"/>
              <a:cs typeface="Roboto Light" panose="02000000000000000000" pitchFamily="2" charset="0"/>
            </a:rPr>
            <a:t>Source Data</a:t>
          </a:r>
          <a:endParaRPr lang="ru-RU" sz="2000">
            <a:solidFill>
              <a:schemeClr val="bg1"/>
            </a:solidFill>
            <a:latin typeface="Roboto Light" panose="02000000000000000000" pitchFamily="2" charset="0"/>
            <a:ea typeface="Roboto Light" panose="02000000000000000000" pitchFamily="2" charset="0"/>
            <a:cs typeface="Roboto Light" panose="02000000000000000000" pitchFamily="2"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544647</xdr:colOff>
      <xdr:row>0</xdr:row>
      <xdr:rowOff>137160</xdr:rowOff>
    </xdr:from>
    <xdr:to>
      <xdr:col>20</xdr:col>
      <xdr:colOff>125318</xdr:colOff>
      <xdr:row>35</xdr:row>
      <xdr:rowOff>156781</xdr:rowOff>
    </xdr:to>
    <xdr:grpSp>
      <xdr:nvGrpSpPr>
        <xdr:cNvPr id="2" name="Group 1">
          <a:extLst>
            <a:ext uri="{FF2B5EF4-FFF2-40B4-BE49-F238E27FC236}">
              <a16:creationId xmlns:a16="http://schemas.microsoft.com/office/drawing/2014/main" id="{00000000-0008-0000-0500-000002000000}"/>
            </a:ext>
          </a:extLst>
        </xdr:cNvPr>
        <xdr:cNvGrpSpPr/>
      </xdr:nvGrpSpPr>
      <xdr:grpSpPr>
        <a:xfrm>
          <a:off x="544647" y="137160"/>
          <a:ext cx="11827100" cy="6448996"/>
          <a:chOff x="258097" y="108065"/>
          <a:chExt cx="11370478" cy="6420421"/>
        </a:xfrm>
      </xdr:grpSpPr>
      <xdr:sp macro="" textlink="">
        <xdr:nvSpPr>
          <xdr:cNvPr id="3" name="Rectangle: Rounded Corners 2">
            <a:extLst>
              <a:ext uri="{FF2B5EF4-FFF2-40B4-BE49-F238E27FC236}">
                <a16:creationId xmlns:a16="http://schemas.microsoft.com/office/drawing/2014/main" id="{00000000-0008-0000-0500-000003000000}"/>
              </a:ext>
            </a:extLst>
          </xdr:cNvPr>
          <xdr:cNvSpPr/>
        </xdr:nvSpPr>
        <xdr:spPr>
          <a:xfrm>
            <a:off x="263929" y="166241"/>
            <a:ext cx="11364646" cy="6362245"/>
          </a:xfrm>
          <a:prstGeom prst="roundRect">
            <a:avLst>
              <a:gd name="adj" fmla="val 4725"/>
            </a:avLst>
          </a:prstGeom>
          <a:gradFill flip="none" rotWithShape="1">
            <a:gsLst>
              <a:gs pos="0">
                <a:srgbClr val="9FB0C8"/>
              </a:gs>
              <a:gs pos="100000">
                <a:srgbClr val="8DA0BD"/>
              </a:gs>
            </a:gsLst>
            <a:path path="circle">
              <a:fillToRect r="100000" b="100000"/>
            </a:path>
            <a:tileRect l="-100000" t="-100000"/>
          </a:gradFill>
          <a:ln>
            <a:noFill/>
          </a:ln>
          <a:effectLst>
            <a:outerShdw blurRad="698500" dist="127000" dir="2700000" algn="tl" rotWithShape="0">
              <a:srgbClr val="3D506B">
                <a:alpha val="9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sp macro="" textlink="">
        <xdr:nvSpPr>
          <xdr:cNvPr id="4" name="Freeform: Shape 3">
            <a:extLst>
              <a:ext uri="{FF2B5EF4-FFF2-40B4-BE49-F238E27FC236}">
                <a16:creationId xmlns:a16="http://schemas.microsoft.com/office/drawing/2014/main" id="{00000000-0008-0000-0500-000004000000}"/>
              </a:ext>
            </a:extLst>
          </xdr:cNvPr>
          <xdr:cNvSpPr/>
        </xdr:nvSpPr>
        <xdr:spPr>
          <a:xfrm>
            <a:off x="258097" y="108065"/>
            <a:ext cx="11364646" cy="615753"/>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gradFill flip="none" rotWithShape="1">
            <a:gsLst>
              <a:gs pos="0">
                <a:srgbClr val="212743"/>
              </a:gs>
              <a:gs pos="100000">
                <a:srgbClr val="202644"/>
              </a:gs>
            </a:gsLst>
            <a:lin ang="54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clientData/>
  </xdr:twoCellAnchor>
  <xdr:twoCellAnchor>
    <xdr:from>
      <xdr:col>5</xdr:col>
      <xdr:colOff>450006</xdr:colOff>
      <xdr:row>1</xdr:row>
      <xdr:rowOff>85619</xdr:rowOff>
    </xdr:from>
    <xdr:to>
      <xdr:col>7</xdr:col>
      <xdr:colOff>526997</xdr:colOff>
      <xdr:row>3</xdr:row>
      <xdr:rowOff>90562</xdr:rowOff>
    </xdr:to>
    <xdr:sp macro="" textlink="">
      <xdr:nvSpPr>
        <xdr:cNvPr id="5" name="Rectangle: Rounded Corners 4">
          <a:extLst>
            <a:ext uri="{FF2B5EF4-FFF2-40B4-BE49-F238E27FC236}">
              <a16:creationId xmlns:a16="http://schemas.microsoft.com/office/drawing/2014/main" id="{00000000-0008-0000-0500-000005000000}"/>
            </a:ext>
          </a:extLst>
        </xdr:cNvPr>
        <xdr:cNvSpPr/>
      </xdr:nvSpPr>
      <xdr:spPr>
        <a:xfrm>
          <a:off x="3498006" y="268499"/>
          <a:ext cx="1296191" cy="370703"/>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rgbClr val="BEFBFF"/>
              </a:solidFill>
              <a:effectLst/>
              <a:latin typeface="+mn-lt"/>
              <a:ea typeface="+mn-ea"/>
              <a:cs typeface="+mn-cs"/>
            </a:rPr>
            <a:t>Dashboard</a:t>
          </a:r>
          <a:endParaRPr lang="ru-RU" sz="1100" b="0" kern="1200">
            <a:solidFill>
              <a:srgbClr val="BEFBFF"/>
            </a:solidFill>
            <a:effectLst/>
            <a:latin typeface="+mn-lt"/>
            <a:ea typeface="+mn-ea"/>
            <a:cs typeface="+mn-cs"/>
          </a:endParaRPr>
        </a:p>
      </xdr:txBody>
    </xdr:sp>
    <xdr:clientData/>
  </xdr:twoCellAnchor>
  <xdr:twoCellAnchor>
    <xdr:from>
      <xdr:col>10</xdr:col>
      <xdr:colOff>242727</xdr:colOff>
      <xdr:row>1</xdr:row>
      <xdr:rowOff>85619</xdr:rowOff>
    </xdr:from>
    <xdr:to>
      <xdr:col>12</xdr:col>
      <xdr:colOff>321066</xdr:colOff>
      <xdr:row>3</xdr:row>
      <xdr:rowOff>90562</xdr:rowOff>
    </xdr:to>
    <xdr:sp macro="" textlink="">
      <xdr:nvSpPr>
        <xdr:cNvPr id="6" name="Rectangle: Rounded Corners 5">
          <a:extLst>
            <a:ext uri="{FF2B5EF4-FFF2-40B4-BE49-F238E27FC236}">
              <a16:creationId xmlns:a16="http://schemas.microsoft.com/office/drawing/2014/main" id="{00000000-0008-0000-0500-000006000000}"/>
            </a:ext>
          </a:extLst>
        </xdr:cNvPr>
        <xdr:cNvSpPr/>
      </xdr:nvSpPr>
      <xdr:spPr>
        <a:xfrm>
          <a:off x="6338727" y="268499"/>
          <a:ext cx="1297539" cy="370703"/>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a:solidFill>
                <a:srgbClr val="BEFBFF"/>
              </a:solidFill>
              <a:effectLst/>
              <a:latin typeface="+mn-lt"/>
              <a:ea typeface="+mn-ea"/>
              <a:cs typeface="+mn-cs"/>
            </a:rPr>
            <a:t>Analysis</a:t>
          </a:r>
          <a:endParaRPr lang="ru-RU" sz="1050" b="0" kern="1200">
            <a:solidFill>
              <a:srgbClr val="BEFBFF"/>
            </a:solidFill>
            <a:latin typeface="+mn-lt"/>
            <a:ea typeface="+mn-ea"/>
            <a:cs typeface="+mn-cs"/>
          </a:endParaRPr>
        </a:p>
      </xdr:txBody>
    </xdr:sp>
    <xdr:clientData/>
  </xdr:twoCellAnchor>
  <xdr:twoCellAnchor>
    <xdr:from>
      <xdr:col>8</xdr:col>
      <xdr:colOff>40206</xdr:colOff>
      <xdr:row>1</xdr:row>
      <xdr:rowOff>85619</xdr:rowOff>
    </xdr:from>
    <xdr:to>
      <xdr:col>10</xdr:col>
      <xdr:colOff>117197</xdr:colOff>
      <xdr:row>3</xdr:row>
      <xdr:rowOff>90562</xdr:rowOff>
    </xdr:to>
    <xdr:sp macro="" textlink="">
      <xdr:nvSpPr>
        <xdr:cNvPr id="7" name="Rectangle: Rounded Corners 6">
          <a:extLst>
            <a:ext uri="{FF2B5EF4-FFF2-40B4-BE49-F238E27FC236}">
              <a16:creationId xmlns:a16="http://schemas.microsoft.com/office/drawing/2014/main" id="{00000000-0008-0000-0500-000007000000}"/>
            </a:ext>
          </a:extLst>
        </xdr:cNvPr>
        <xdr:cNvSpPr/>
      </xdr:nvSpPr>
      <xdr:spPr>
        <a:xfrm>
          <a:off x="4917006" y="268499"/>
          <a:ext cx="1296191" cy="370703"/>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rgbClr val="BEFBFF"/>
              </a:solidFill>
              <a:effectLst/>
              <a:latin typeface="+mn-lt"/>
              <a:ea typeface="+mn-ea"/>
              <a:cs typeface="+mn-cs"/>
            </a:rPr>
            <a:t>Operations </a:t>
          </a:r>
          <a:endParaRPr lang="ru-RU" sz="1100" b="0" kern="1200">
            <a:solidFill>
              <a:srgbClr val="BEFBFF"/>
            </a:solidFill>
            <a:effectLst/>
            <a:latin typeface="+mn-lt"/>
            <a:ea typeface="+mn-ea"/>
            <a:cs typeface="+mn-cs"/>
          </a:endParaRPr>
        </a:p>
      </xdr:txBody>
    </xdr:sp>
    <xdr:clientData/>
  </xdr:twoCellAnchor>
  <xdr:twoCellAnchor>
    <xdr:from>
      <xdr:col>12</xdr:col>
      <xdr:colOff>446596</xdr:colOff>
      <xdr:row>1</xdr:row>
      <xdr:rowOff>85619</xdr:rowOff>
    </xdr:from>
    <xdr:to>
      <xdr:col>14</xdr:col>
      <xdr:colOff>523587</xdr:colOff>
      <xdr:row>3</xdr:row>
      <xdr:rowOff>90562</xdr:rowOff>
    </xdr:to>
    <xdr:sp macro="" textlink="">
      <xdr:nvSpPr>
        <xdr:cNvPr id="8" name="Rectangle: Rounded Corners 7">
          <a:extLst>
            <a:ext uri="{FF2B5EF4-FFF2-40B4-BE49-F238E27FC236}">
              <a16:creationId xmlns:a16="http://schemas.microsoft.com/office/drawing/2014/main" id="{00000000-0008-0000-0500-000008000000}"/>
            </a:ext>
          </a:extLst>
        </xdr:cNvPr>
        <xdr:cNvSpPr/>
      </xdr:nvSpPr>
      <xdr:spPr>
        <a:xfrm>
          <a:off x="7761796" y="268499"/>
          <a:ext cx="1296191" cy="370703"/>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rgbClr val="BEFBFF"/>
              </a:solidFill>
              <a:effectLst/>
              <a:latin typeface="+mn-lt"/>
              <a:ea typeface="+mn-ea"/>
              <a:cs typeface="+mn-cs"/>
            </a:rPr>
            <a:t>Dataset</a:t>
          </a:r>
          <a:endParaRPr lang="ru-RU" sz="1050" b="0" kern="1200">
            <a:solidFill>
              <a:srgbClr val="BEFBFF"/>
            </a:solidFill>
            <a:latin typeface="+mn-lt"/>
            <a:ea typeface="+mn-ea"/>
            <a:cs typeface="+mn-cs"/>
          </a:endParaRPr>
        </a:p>
      </xdr:txBody>
    </xdr:sp>
    <xdr:clientData/>
  </xdr:twoCellAnchor>
  <xdr:twoCellAnchor editAs="oneCell">
    <xdr:from>
      <xdr:col>17</xdr:col>
      <xdr:colOff>436594</xdr:colOff>
      <xdr:row>1</xdr:row>
      <xdr:rowOff>60083</xdr:rowOff>
    </xdr:from>
    <xdr:to>
      <xdr:col>19</xdr:col>
      <xdr:colOff>609177</xdr:colOff>
      <xdr:row>3</xdr:row>
      <xdr:rowOff>116099</xdr:rowOff>
    </xdr:to>
    <mc:AlternateContent xmlns:mc="http://schemas.openxmlformats.org/markup-compatibility/2006" xmlns:a14="http://schemas.microsoft.com/office/drawing/2010/main">
      <mc:Choice Requires="a14">
        <xdr:graphicFrame macro="">
          <xdr:nvGraphicFramePr>
            <xdr:cNvPr id="18" name="Years (Order_Date) 5">
              <a:extLst>
                <a:ext uri="{FF2B5EF4-FFF2-40B4-BE49-F238E27FC236}">
                  <a16:creationId xmlns:a16="http://schemas.microsoft.com/office/drawing/2014/main" id="{00000000-0008-0000-0500-000012000000}"/>
                </a:ext>
              </a:extLst>
            </xdr:cNvPr>
            <xdr:cNvGraphicFramePr/>
          </xdr:nvGraphicFramePr>
          <xdr:xfrm>
            <a:off x="0" y="0"/>
            <a:ext cx="0" cy="0"/>
          </xdr:xfrm>
          <a:graphic>
            <a:graphicData uri="http://schemas.microsoft.com/office/drawing/2010/slicer">
              <sle:slicer xmlns:sle="http://schemas.microsoft.com/office/drawing/2010/slicer" name="Years (Order_Date) 5"/>
            </a:graphicData>
          </a:graphic>
        </xdr:graphicFrame>
      </mc:Choice>
      <mc:Fallback xmlns="">
        <xdr:sp macro="" textlink="">
          <xdr:nvSpPr>
            <xdr:cNvPr id="0" name=""/>
            <xdr:cNvSpPr>
              <a:spLocks noTextEdit="1"/>
            </xdr:cNvSpPr>
          </xdr:nvSpPr>
          <xdr:spPr>
            <a:xfrm>
              <a:off x="10846058" y="243779"/>
              <a:ext cx="1397226" cy="4234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12857</xdr:colOff>
      <xdr:row>1</xdr:row>
      <xdr:rowOff>93560</xdr:rowOff>
    </xdr:from>
    <xdr:to>
      <xdr:col>5</xdr:col>
      <xdr:colOff>498378</xdr:colOff>
      <xdr:row>3</xdr:row>
      <xdr:rowOff>82622</xdr:rowOff>
    </xdr:to>
    <xdr:sp macro="" textlink="">
      <xdr:nvSpPr>
        <xdr:cNvPr id="19" name="TextBox 158">
          <a:extLst>
            <a:ext uri="{FF2B5EF4-FFF2-40B4-BE49-F238E27FC236}">
              <a16:creationId xmlns:a16="http://schemas.microsoft.com/office/drawing/2014/main" id="{00000000-0008-0000-0500-000013000000}"/>
            </a:ext>
          </a:extLst>
        </xdr:cNvPr>
        <xdr:cNvSpPr txBox="1"/>
      </xdr:nvSpPr>
      <xdr:spPr>
        <a:xfrm>
          <a:off x="622457" y="276440"/>
          <a:ext cx="2923921" cy="354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2100" b="1">
              <a:solidFill>
                <a:srgbClr val="BFFAFF"/>
              </a:solidFill>
            </a:rPr>
            <a:t>Supply Chain Dashboard</a:t>
          </a:r>
          <a:endParaRPr lang="ru-RU" sz="2100" b="1">
            <a:solidFill>
              <a:srgbClr val="BFFAFF"/>
            </a:solidFill>
          </a:endParaRPr>
        </a:p>
      </xdr:txBody>
    </xdr:sp>
    <xdr:clientData/>
  </xdr:twoCellAnchor>
  <xdr:twoCellAnchor>
    <xdr:from>
      <xdr:col>15</xdr:col>
      <xdr:colOff>36797</xdr:colOff>
      <xdr:row>1</xdr:row>
      <xdr:rowOff>85619</xdr:rowOff>
    </xdr:from>
    <xdr:to>
      <xdr:col>17</xdr:col>
      <xdr:colOff>113788</xdr:colOff>
      <xdr:row>3</xdr:row>
      <xdr:rowOff>90562</xdr:rowOff>
    </xdr:to>
    <xdr:sp macro="" textlink="">
      <xdr:nvSpPr>
        <xdr:cNvPr id="20" name="Rectangle: Rounded Corners 19">
          <a:extLst>
            <a:ext uri="{FF2B5EF4-FFF2-40B4-BE49-F238E27FC236}">
              <a16:creationId xmlns:a16="http://schemas.microsoft.com/office/drawing/2014/main" id="{00000000-0008-0000-0500-000014000000}"/>
            </a:ext>
          </a:extLst>
        </xdr:cNvPr>
        <xdr:cNvSpPr/>
      </xdr:nvSpPr>
      <xdr:spPr>
        <a:xfrm>
          <a:off x="9180797" y="268499"/>
          <a:ext cx="1296191" cy="370703"/>
        </a:xfrm>
        <a:prstGeom prst="roundRect">
          <a:avLst>
            <a:gd name="adj" fmla="val 49653"/>
          </a:avLst>
        </a:prstGeom>
        <a:gradFill flip="none" rotWithShape="1">
          <a:gsLst>
            <a:gs pos="18000">
              <a:srgbClr val="003760"/>
            </a:gs>
            <a:gs pos="90000">
              <a:srgbClr val="003964"/>
            </a:gs>
          </a:gsLst>
          <a:path path="circle">
            <a:fillToRect l="50000" t="-80000" r="50000" b="180000"/>
          </a:path>
          <a:tileRect/>
        </a:gradFill>
        <a:ln w="9525">
          <a:solidFill>
            <a:srgbClr val="66FFFF"/>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050" kern="1200">
              <a:solidFill>
                <a:srgbClr val="66FFFF"/>
              </a:solidFill>
              <a:latin typeface="+mn-lt"/>
              <a:ea typeface="+mn-ea"/>
              <a:cs typeface="+mn-cs"/>
            </a:rPr>
            <a:t>Insights</a:t>
          </a:r>
          <a:endParaRPr lang="ru-RU" sz="1050" kern="1200">
            <a:solidFill>
              <a:srgbClr val="66FFFF"/>
            </a:solidFill>
            <a:latin typeface="+mn-lt"/>
            <a:ea typeface="+mn-ea"/>
            <a:cs typeface="+mn-cs"/>
          </a:endParaRPr>
        </a:p>
      </xdr:txBody>
    </xdr:sp>
    <xdr:clientData/>
  </xdr:twoCellAnchor>
  <xdr:twoCellAnchor>
    <xdr:from>
      <xdr:col>1</xdr:col>
      <xdr:colOff>20411</xdr:colOff>
      <xdr:row>4</xdr:row>
      <xdr:rowOff>62321</xdr:rowOff>
    </xdr:from>
    <xdr:to>
      <xdr:col>20</xdr:col>
      <xdr:colOff>48893</xdr:colOff>
      <xdr:row>35</xdr:row>
      <xdr:rowOff>6531</xdr:rowOff>
    </xdr:to>
    <xdr:sp macro="" textlink="">
      <xdr:nvSpPr>
        <xdr:cNvPr id="91" name="Rectangle: Rounded Corners 90">
          <a:extLst>
            <a:ext uri="{FF2B5EF4-FFF2-40B4-BE49-F238E27FC236}">
              <a16:creationId xmlns:a16="http://schemas.microsoft.com/office/drawing/2014/main" id="{00000000-0008-0000-0500-00005B000000}"/>
            </a:ext>
          </a:extLst>
        </xdr:cNvPr>
        <xdr:cNvSpPr/>
      </xdr:nvSpPr>
      <xdr:spPr>
        <a:xfrm>
          <a:off x="632732" y="797107"/>
          <a:ext cx="11662590" cy="5638799"/>
        </a:xfrm>
        <a:prstGeom prst="roundRect">
          <a:avLst>
            <a:gd name="adj" fmla="val 3039"/>
          </a:avLst>
        </a:prstGeom>
        <a:solidFill>
          <a:srgbClr val="27364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en-US" sz="1100" kern="1200">
            <a:solidFill>
              <a:schemeClr val="lt1"/>
            </a:solidFill>
            <a:latin typeface="+mn-lt"/>
            <a:ea typeface="+mn-ea"/>
            <a:cs typeface="+mn-cs"/>
          </a:endParaRPr>
        </a:p>
      </xdr:txBody>
    </xdr:sp>
    <xdr:clientData/>
  </xdr:twoCellAnchor>
  <xdr:twoCellAnchor>
    <xdr:from>
      <xdr:col>5</xdr:col>
      <xdr:colOff>242217</xdr:colOff>
      <xdr:row>4</xdr:row>
      <xdr:rowOff>138904</xdr:rowOff>
    </xdr:from>
    <xdr:to>
      <xdr:col>15</xdr:col>
      <xdr:colOff>439410</xdr:colOff>
      <xdr:row>7</xdr:row>
      <xdr:rowOff>32653</xdr:rowOff>
    </xdr:to>
    <xdr:sp macro="" textlink="">
      <xdr:nvSpPr>
        <xdr:cNvPr id="93" name="TextBox 50">
          <a:extLst>
            <a:ext uri="{FF2B5EF4-FFF2-40B4-BE49-F238E27FC236}">
              <a16:creationId xmlns:a16="http://schemas.microsoft.com/office/drawing/2014/main" id="{00000000-0008-0000-0500-00005D000000}"/>
            </a:ext>
          </a:extLst>
        </xdr:cNvPr>
        <xdr:cNvSpPr txBox="1"/>
      </xdr:nvSpPr>
      <xdr:spPr>
        <a:xfrm>
          <a:off x="3303824" y="873690"/>
          <a:ext cx="6320407" cy="444838"/>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a:solidFill>
                <a:schemeClr val="bg1"/>
              </a:solidFill>
              <a:effectLst>
                <a:outerShdw blurRad="50800" dist="38100" dir="2700000" algn="tl" rotWithShape="0">
                  <a:prstClr val="black">
                    <a:alpha val="40000"/>
                  </a:prstClr>
                </a:outerShdw>
              </a:effectLst>
            </a:rPr>
            <a:t>Business Decisions &amp; Recommendations</a:t>
          </a:r>
        </a:p>
      </xdr:txBody>
    </xdr:sp>
    <xdr:clientData/>
  </xdr:twoCellAnchor>
  <xdr:twoCellAnchor>
    <xdr:from>
      <xdr:col>1</xdr:col>
      <xdr:colOff>68038</xdr:colOff>
      <xdr:row>7</xdr:row>
      <xdr:rowOff>131200</xdr:rowOff>
    </xdr:from>
    <xdr:to>
      <xdr:col>19</xdr:col>
      <xdr:colOff>574231</xdr:colOff>
      <xdr:row>35</xdr:row>
      <xdr:rowOff>6800</xdr:rowOff>
    </xdr:to>
    <xdr:grpSp>
      <xdr:nvGrpSpPr>
        <xdr:cNvPr id="120" name="Group 119">
          <a:extLst>
            <a:ext uri="{FF2B5EF4-FFF2-40B4-BE49-F238E27FC236}">
              <a16:creationId xmlns:a16="http://schemas.microsoft.com/office/drawing/2014/main" id="{00000000-0008-0000-0500-000078000000}"/>
            </a:ext>
          </a:extLst>
        </xdr:cNvPr>
        <xdr:cNvGrpSpPr/>
      </xdr:nvGrpSpPr>
      <xdr:grpSpPr>
        <a:xfrm>
          <a:off x="680359" y="1417075"/>
          <a:ext cx="11527979" cy="5019100"/>
          <a:chOff x="2855462" y="1417075"/>
          <a:chExt cx="9318856" cy="5019100"/>
        </a:xfrm>
      </xdr:grpSpPr>
      <xdr:sp macro="" textlink="">
        <xdr:nvSpPr>
          <xdr:cNvPr id="92" name="Rectangle: Rounded Corners 91">
            <a:extLst>
              <a:ext uri="{FF2B5EF4-FFF2-40B4-BE49-F238E27FC236}">
                <a16:creationId xmlns:a16="http://schemas.microsoft.com/office/drawing/2014/main" id="{00000000-0008-0000-0500-00005C000000}"/>
              </a:ext>
            </a:extLst>
          </xdr:cNvPr>
          <xdr:cNvSpPr/>
        </xdr:nvSpPr>
        <xdr:spPr>
          <a:xfrm>
            <a:off x="2878111" y="1417075"/>
            <a:ext cx="9296207" cy="4931308"/>
          </a:xfrm>
          <a:prstGeom prst="roundRect">
            <a:avLst>
              <a:gd name="adj" fmla="val 3324"/>
            </a:avLst>
          </a:prstGeom>
          <a:solidFill>
            <a:srgbClr val="3D546B">
              <a:alpha val="25000"/>
            </a:srgb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94" name="Rectangle: Rounded Corners 93">
            <a:extLst>
              <a:ext uri="{FF2B5EF4-FFF2-40B4-BE49-F238E27FC236}">
                <a16:creationId xmlns:a16="http://schemas.microsoft.com/office/drawing/2014/main" id="{00000000-0008-0000-0500-00005E000000}"/>
              </a:ext>
            </a:extLst>
          </xdr:cNvPr>
          <xdr:cNvSpPr/>
        </xdr:nvSpPr>
        <xdr:spPr>
          <a:xfrm>
            <a:off x="2878111" y="1417075"/>
            <a:ext cx="9296207" cy="4931308"/>
          </a:xfrm>
          <a:prstGeom prst="roundRect">
            <a:avLst>
              <a:gd name="adj" fmla="val 3324"/>
            </a:avLst>
          </a:prstGeom>
          <a:gradFill flip="none" rotWithShape="1">
            <a:gsLst>
              <a:gs pos="70000">
                <a:srgbClr val="3D546B">
                  <a:alpha val="0"/>
                </a:srgbClr>
              </a:gs>
              <a:gs pos="100000">
                <a:srgbClr val="00B7D2">
                  <a:alpha val="60000"/>
                </a:srgbClr>
              </a:gs>
            </a:gsLst>
            <a:lin ang="18900000" scaled="1"/>
            <a:tileRect/>
          </a:gradFill>
          <a:ln>
            <a:gradFill flip="none" rotWithShape="1">
              <a:gsLst>
                <a:gs pos="54000">
                  <a:srgbClr val="3D546B"/>
                </a:gs>
                <a:gs pos="100000">
                  <a:srgbClr val="00B7D2"/>
                </a:gs>
              </a:gsLst>
              <a:lin ang="18900000" scaled="1"/>
              <a:tileRect/>
            </a:gra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95" name="Rectangle: Rounded Corners 94">
            <a:extLst>
              <a:ext uri="{FF2B5EF4-FFF2-40B4-BE49-F238E27FC236}">
                <a16:creationId xmlns:a16="http://schemas.microsoft.com/office/drawing/2014/main" id="{00000000-0008-0000-0500-00005F000000}"/>
              </a:ext>
            </a:extLst>
          </xdr:cNvPr>
          <xdr:cNvSpPr/>
        </xdr:nvSpPr>
        <xdr:spPr>
          <a:xfrm flipH="1">
            <a:off x="2878111" y="1417075"/>
            <a:ext cx="9296207" cy="4931308"/>
          </a:xfrm>
          <a:prstGeom prst="roundRect">
            <a:avLst>
              <a:gd name="adj" fmla="val 3324"/>
            </a:avLst>
          </a:prstGeom>
          <a:gradFill flip="none" rotWithShape="1">
            <a:gsLst>
              <a:gs pos="70000">
                <a:srgbClr val="221987">
                  <a:alpha val="0"/>
                </a:srgbClr>
              </a:gs>
              <a:gs pos="100000">
                <a:srgbClr val="206DF5">
                  <a:alpha val="60000"/>
                </a:srgbClr>
              </a:gs>
            </a:gsLst>
            <a:lin ang="18900000" scaled="1"/>
            <a:tileRect/>
          </a:gradFill>
          <a:ln>
            <a:gradFill flip="none" rotWithShape="1">
              <a:gsLst>
                <a:gs pos="54000">
                  <a:srgbClr val="3D546B">
                    <a:alpha val="0"/>
                  </a:srgbClr>
                </a:gs>
                <a:gs pos="100000">
                  <a:srgbClr val="206DF5"/>
                </a:gs>
              </a:gsLst>
              <a:lin ang="18900000" scaled="1"/>
              <a:tileRect/>
            </a:gra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96" name="TextBox 50">
            <a:extLst>
              <a:ext uri="{FF2B5EF4-FFF2-40B4-BE49-F238E27FC236}">
                <a16:creationId xmlns:a16="http://schemas.microsoft.com/office/drawing/2014/main" id="{00000000-0008-0000-0500-000060000000}"/>
              </a:ext>
            </a:extLst>
          </xdr:cNvPr>
          <xdr:cNvSpPr txBox="1"/>
        </xdr:nvSpPr>
        <xdr:spPr>
          <a:xfrm>
            <a:off x="2874898" y="1532345"/>
            <a:ext cx="2050538" cy="353798"/>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800" b="0" kern="1200">
                <a:solidFill>
                  <a:schemeClr val="bg1"/>
                </a:solidFill>
                <a:effectLst/>
                <a:latin typeface="+mn-lt"/>
                <a:ea typeface="+mn-ea"/>
                <a:cs typeface="+mn-cs"/>
              </a:rPr>
              <a:t>Key Takeaways:</a:t>
            </a:r>
          </a:p>
        </xdr:txBody>
      </xdr:sp>
      <xdr:sp macro="" textlink="">
        <xdr:nvSpPr>
          <xdr:cNvPr id="97" name="TextBox 50">
            <a:extLst>
              <a:ext uri="{FF2B5EF4-FFF2-40B4-BE49-F238E27FC236}">
                <a16:creationId xmlns:a16="http://schemas.microsoft.com/office/drawing/2014/main" id="{00000000-0008-0000-0500-000061000000}"/>
              </a:ext>
            </a:extLst>
          </xdr:cNvPr>
          <xdr:cNvSpPr txBox="1"/>
        </xdr:nvSpPr>
        <xdr:spPr>
          <a:xfrm>
            <a:off x="6325802" y="1464111"/>
            <a:ext cx="2619438" cy="387183"/>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r>
              <a:rPr lang="en-US" sz="2000" b="0" kern="1200">
                <a:solidFill>
                  <a:schemeClr val="bg1"/>
                </a:solidFill>
                <a:effectLst/>
                <a:latin typeface="+mn-lt"/>
                <a:ea typeface="+mn-ea"/>
                <a:cs typeface="+mn-cs"/>
              </a:rPr>
              <a:t>Descriptive Analysis:</a:t>
            </a:r>
          </a:p>
        </xdr:txBody>
      </xdr:sp>
      <xdr:sp macro="" textlink="">
        <xdr:nvSpPr>
          <xdr:cNvPr id="98" name="TextBox 50">
            <a:extLst>
              <a:ext uri="{FF2B5EF4-FFF2-40B4-BE49-F238E27FC236}">
                <a16:creationId xmlns:a16="http://schemas.microsoft.com/office/drawing/2014/main" id="{00000000-0008-0000-0500-000062000000}"/>
              </a:ext>
            </a:extLst>
          </xdr:cNvPr>
          <xdr:cNvSpPr txBox="1"/>
        </xdr:nvSpPr>
        <xdr:spPr>
          <a:xfrm>
            <a:off x="6534052" y="1736406"/>
            <a:ext cx="2243370" cy="286992"/>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kern="1200">
                <a:solidFill>
                  <a:srgbClr val="FFC409"/>
                </a:solidFill>
                <a:effectLst/>
                <a:latin typeface="+mn-lt"/>
                <a:ea typeface="+mn-ea"/>
                <a:cs typeface="+mn-cs"/>
              </a:rPr>
              <a:t>(January 2023 - December 2024)</a:t>
            </a:r>
          </a:p>
        </xdr:txBody>
      </xdr:sp>
      <xdr:sp macro="" textlink="">
        <xdr:nvSpPr>
          <xdr:cNvPr id="99" name="TextBox 50">
            <a:extLst>
              <a:ext uri="{FF2B5EF4-FFF2-40B4-BE49-F238E27FC236}">
                <a16:creationId xmlns:a16="http://schemas.microsoft.com/office/drawing/2014/main" id="{00000000-0008-0000-0500-000063000000}"/>
              </a:ext>
            </a:extLst>
          </xdr:cNvPr>
          <xdr:cNvSpPr txBox="1"/>
        </xdr:nvSpPr>
        <xdr:spPr>
          <a:xfrm>
            <a:off x="2880471" y="1789937"/>
            <a:ext cx="3769739" cy="296086"/>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kern="1200">
                <a:solidFill>
                  <a:srgbClr val="FFC409"/>
                </a:solidFill>
                <a:effectLst/>
                <a:latin typeface="+mn-lt"/>
                <a:ea typeface="+mn-ea"/>
                <a:cs typeface="+mn-cs"/>
              </a:rPr>
              <a:t>Revenue &amp; Profit Performance:</a:t>
            </a:r>
          </a:p>
        </xdr:txBody>
      </xdr:sp>
      <xdr:sp macro="" textlink="">
        <xdr:nvSpPr>
          <xdr:cNvPr id="100" name="TextBox 99">
            <a:extLst>
              <a:ext uri="{FF2B5EF4-FFF2-40B4-BE49-F238E27FC236}">
                <a16:creationId xmlns:a16="http://schemas.microsoft.com/office/drawing/2014/main" id="{00000000-0008-0000-0500-000064000000}"/>
              </a:ext>
            </a:extLst>
          </xdr:cNvPr>
          <xdr:cNvSpPr txBox="1"/>
        </xdr:nvSpPr>
        <xdr:spPr>
          <a:xfrm>
            <a:off x="2855462" y="2001254"/>
            <a:ext cx="9310282" cy="7746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a:solidFill>
                  <a:schemeClr val="bg1"/>
                </a:solidFill>
              </a:rPr>
              <a:t>The supply chain processed </a:t>
            </a:r>
            <a:r>
              <a:rPr lang="en-US" sz="1000" b="1">
                <a:solidFill>
                  <a:schemeClr val="bg1"/>
                </a:solidFill>
              </a:rPr>
              <a:t>89 total orders</a:t>
            </a:r>
            <a:r>
              <a:rPr lang="en-US" sz="1000">
                <a:solidFill>
                  <a:schemeClr val="bg1"/>
                </a:solidFill>
              </a:rPr>
              <a:t>, delivering </a:t>
            </a:r>
            <a:r>
              <a:rPr lang="en-US" sz="1000" b="1">
                <a:solidFill>
                  <a:schemeClr val="bg1"/>
                </a:solidFill>
              </a:rPr>
              <a:t>7,546 units</a:t>
            </a:r>
            <a:r>
              <a:rPr lang="en-US" sz="1000">
                <a:solidFill>
                  <a:schemeClr val="bg1"/>
                </a:solidFill>
              </a:rPr>
              <a:t> with a total operational cost of </a:t>
            </a:r>
            <a:r>
              <a:rPr lang="en-US" sz="1000" b="1">
                <a:solidFill>
                  <a:schemeClr val="bg1"/>
                </a:solidFill>
              </a:rPr>
              <a:t>$477K</a:t>
            </a:r>
            <a:r>
              <a:rPr lang="en-US" sz="1000">
                <a:solidFill>
                  <a:schemeClr val="bg1"/>
                </a:solidFill>
              </a:rPr>
              <a:t>. Although order fulfillment remained stable throughout the year, monthly demand fluctuated, indicating seasonal purchasing patterns.</a:t>
            </a:r>
          </a:p>
          <a:p>
            <a:r>
              <a:rPr lang="en-US" sz="1000">
                <a:solidFill>
                  <a:schemeClr val="bg1"/>
                </a:solidFill>
              </a:rPr>
              <a:t>Monthly quantity trends reveal noticeable peaks during </a:t>
            </a:r>
            <a:r>
              <a:rPr lang="en-US" sz="1000" b="1">
                <a:solidFill>
                  <a:schemeClr val="bg1"/>
                </a:solidFill>
              </a:rPr>
              <a:t>October</a:t>
            </a:r>
            <a:r>
              <a:rPr lang="en-US" sz="1000">
                <a:solidFill>
                  <a:schemeClr val="bg1"/>
                </a:solidFill>
              </a:rPr>
              <a:t>, while </a:t>
            </a:r>
            <a:r>
              <a:rPr lang="en-US" sz="1000" b="1">
                <a:solidFill>
                  <a:schemeClr val="bg1"/>
                </a:solidFill>
              </a:rPr>
              <a:t>May to September</a:t>
            </a:r>
            <a:r>
              <a:rPr lang="en-US" sz="1000">
                <a:solidFill>
                  <a:schemeClr val="bg1"/>
                </a:solidFill>
              </a:rPr>
              <a:t> maintained consistent order activity. Lower volumes during the remaining months suggest opportunities to improve demand planning and inventory balancing.</a:t>
            </a:r>
          </a:p>
        </xdr:txBody>
      </xdr:sp>
      <xdr:cxnSp macro="">
        <xdr:nvCxnSpPr>
          <xdr:cNvPr id="101" name="Straight Connector 100">
            <a:extLst>
              <a:ext uri="{FF2B5EF4-FFF2-40B4-BE49-F238E27FC236}">
                <a16:creationId xmlns:a16="http://schemas.microsoft.com/office/drawing/2014/main" id="{00000000-0008-0000-0500-000065000000}"/>
              </a:ext>
            </a:extLst>
          </xdr:cNvPr>
          <xdr:cNvCxnSpPr/>
        </xdr:nvCxnSpPr>
        <xdr:spPr>
          <a:xfrm>
            <a:off x="2967991" y="2676583"/>
            <a:ext cx="9065377" cy="0"/>
          </a:xfrm>
          <a:prstGeom prst="line">
            <a:avLst/>
          </a:prstGeom>
          <a:ln>
            <a:solidFill>
              <a:srgbClr val="81C0FF"/>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sp macro="" textlink="">
        <xdr:nvSpPr>
          <xdr:cNvPr id="102" name="TextBox 50">
            <a:extLst>
              <a:ext uri="{FF2B5EF4-FFF2-40B4-BE49-F238E27FC236}">
                <a16:creationId xmlns:a16="http://schemas.microsoft.com/office/drawing/2014/main" id="{00000000-0008-0000-0500-000066000000}"/>
              </a:ext>
            </a:extLst>
          </xdr:cNvPr>
          <xdr:cNvSpPr txBox="1"/>
        </xdr:nvSpPr>
        <xdr:spPr>
          <a:xfrm>
            <a:off x="2880471" y="2635984"/>
            <a:ext cx="3769739" cy="296086"/>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kern="1200">
                <a:solidFill>
                  <a:srgbClr val="FFC409"/>
                </a:solidFill>
                <a:effectLst/>
                <a:latin typeface="+mn-lt"/>
                <a:ea typeface="+mn-ea"/>
                <a:cs typeface="+mn-cs"/>
              </a:rPr>
              <a:t>Warehouse Performance:</a:t>
            </a:r>
          </a:p>
        </xdr:txBody>
      </xdr:sp>
      <xdr:sp macro="" textlink="">
        <xdr:nvSpPr>
          <xdr:cNvPr id="103" name="TextBox 102">
            <a:extLst>
              <a:ext uri="{FF2B5EF4-FFF2-40B4-BE49-F238E27FC236}">
                <a16:creationId xmlns:a16="http://schemas.microsoft.com/office/drawing/2014/main" id="{00000000-0008-0000-0500-000067000000}"/>
              </a:ext>
            </a:extLst>
          </xdr:cNvPr>
          <xdr:cNvSpPr txBox="1"/>
        </xdr:nvSpPr>
        <xdr:spPr>
          <a:xfrm>
            <a:off x="2855462" y="2847301"/>
            <a:ext cx="9310282" cy="7858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a:solidFill>
                  <a:schemeClr val="bg1"/>
                </a:solidFill>
              </a:rPr>
              <a:t>Warehouse analysis indicates that </a:t>
            </a:r>
            <a:r>
              <a:rPr lang="en-US" sz="1000" b="1">
                <a:solidFill>
                  <a:schemeClr val="bg1"/>
                </a:solidFill>
              </a:rPr>
              <a:t>WH1 handled the largest share of customer orders (48)</a:t>
            </a:r>
            <a:r>
              <a:rPr lang="en-US" sz="1000">
                <a:solidFill>
                  <a:schemeClr val="bg1"/>
                </a:solidFill>
              </a:rPr>
              <a:t>, making it the primary fulfillment center.</a:t>
            </a:r>
          </a:p>
          <a:p>
            <a:r>
              <a:rPr lang="en-US" sz="1000">
                <a:solidFill>
                  <a:schemeClr val="bg1"/>
                </a:solidFill>
              </a:rPr>
              <a:t>The remaining warehouses processed comparatively fewer orders, suggesting an uneven workload distribution. Balancing inventory and order allocation across warehouses could improve operational efficiency while reducing fulfillment pressure on WH1.</a:t>
            </a:r>
          </a:p>
        </xdr:txBody>
      </xdr:sp>
      <xdr:sp macro="" textlink="">
        <xdr:nvSpPr>
          <xdr:cNvPr id="108" name="TextBox 50">
            <a:extLst>
              <a:ext uri="{FF2B5EF4-FFF2-40B4-BE49-F238E27FC236}">
                <a16:creationId xmlns:a16="http://schemas.microsoft.com/office/drawing/2014/main" id="{00000000-0008-0000-0500-00006C000000}"/>
              </a:ext>
            </a:extLst>
          </xdr:cNvPr>
          <xdr:cNvSpPr txBox="1"/>
        </xdr:nvSpPr>
        <xdr:spPr>
          <a:xfrm>
            <a:off x="2880471" y="3401522"/>
            <a:ext cx="3769739" cy="29152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kern="1200">
                <a:solidFill>
                  <a:srgbClr val="FFC409"/>
                </a:solidFill>
                <a:effectLst/>
                <a:latin typeface="+mn-lt"/>
                <a:ea typeface="+mn-ea"/>
                <a:cs typeface="+mn-cs"/>
              </a:rPr>
              <a:t>Transportation Performance:</a:t>
            </a:r>
          </a:p>
        </xdr:txBody>
      </xdr:sp>
      <xdr:sp macro="" textlink="">
        <xdr:nvSpPr>
          <xdr:cNvPr id="109" name="TextBox 108">
            <a:extLst>
              <a:ext uri="{FF2B5EF4-FFF2-40B4-BE49-F238E27FC236}">
                <a16:creationId xmlns:a16="http://schemas.microsoft.com/office/drawing/2014/main" id="{00000000-0008-0000-0500-00006D000000}"/>
              </a:ext>
            </a:extLst>
          </xdr:cNvPr>
          <xdr:cNvSpPr txBox="1"/>
        </xdr:nvSpPr>
        <xdr:spPr>
          <a:xfrm>
            <a:off x="2855462" y="3595517"/>
            <a:ext cx="9310282" cy="6423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a:solidFill>
                  <a:schemeClr val="bg1"/>
                </a:solidFill>
              </a:rPr>
              <a:t>Transportation demand is primarily shared between </a:t>
            </a:r>
            <a:r>
              <a:rPr lang="en-US" sz="1000" b="1">
                <a:solidFill>
                  <a:schemeClr val="bg1"/>
                </a:solidFill>
              </a:rPr>
              <a:t>Air (37%)</a:t>
            </a:r>
            <a:r>
              <a:rPr lang="en-US" sz="1000">
                <a:solidFill>
                  <a:schemeClr val="bg1"/>
                </a:solidFill>
              </a:rPr>
              <a:t> and </a:t>
            </a:r>
            <a:r>
              <a:rPr lang="en-US" sz="1000" b="1">
                <a:solidFill>
                  <a:schemeClr val="bg1"/>
                </a:solidFill>
              </a:rPr>
              <a:t>Sea (35%)</a:t>
            </a:r>
            <a:r>
              <a:rPr lang="en-US" sz="1000">
                <a:solidFill>
                  <a:schemeClr val="bg1"/>
                </a:solidFill>
              </a:rPr>
              <a:t>, while </a:t>
            </a:r>
            <a:r>
              <a:rPr lang="en-US" sz="1000" b="1">
                <a:solidFill>
                  <a:schemeClr val="bg1"/>
                </a:solidFill>
              </a:rPr>
              <a:t>Rail (15%)</a:t>
            </a:r>
            <a:r>
              <a:rPr lang="en-US" sz="1000">
                <a:solidFill>
                  <a:schemeClr val="bg1"/>
                </a:solidFill>
              </a:rPr>
              <a:t> and </a:t>
            </a:r>
            <a:r>
              <a:rPr lang="en-US" sz="1000" b="1">
                <a:solidFill>
                  <a:schemeClr val="bg1"/>
                </a:solidFill>
              </a:rPr>
              <a:t>Road (13%)</a:t>
            </a:r>
            <a:r>
              <a:rPr lang="en-US" sz="1000">
                <a:solidFill>
                  <a:schemeClr val="bg1"/>
                </a:solidFill>
              </a:rPr>
              <a:t> account for a smaller proportion of shipments.</a:t>
            </a:r>
          </a:p>
          <a:p>
            <a:r>
              <a:rPr lang="en-US" sz="1000">
                <a:solidFill>
                  <a:schemeClr val="bg1"/>
                </a:solidFill>
              </a:rPr>
              <a:t>The heavy reliance on Air transportation may improve delivery speed but can significantly increase logistics costs. Expanding Sea and Rail utilization for non-urgent shipments could reduce transportation expenses without negatively affecting service levels.</a:t>
            </a:r>
          </a:p>
        </xdr:txBody>
      </xdr:sp>
      <xdr:sp macro="" textlink="">
        <xdr:nvSpPr>
          <xdr:cNvPr id="110" name="TextBox 50">
            <a:extLst>
              <a:ext uri="{FF2B5EF4-FFF2-40B4-BE49-F238E27FC236}">
                <a16:creationId xmlns:a16="http://schemas.microsoft.com/office/drawing/2014/main" id="{00000000-0008-0000-0500-00006E000000}"/>
              </a:ext>
            </a:extLst>
          </xdr:cNvPr>
          <xdr:cNvSpPr txBox="1"/>
        </xdr:nvSpPr>
        <xdr:spPr>
          <a:xfrm>
            <a:off x="2880471" y="4138317"/>
            <a:ext cx="3769739" cy="291528"/>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kern="1200">
                <a:solidFill>
                  <a:srgbClr val="FFC409"/>
                </a:solidFill>
                <a:effectLst/>
                <a:latin typeface="+mn-lt"/>
                <a:ea typeface="+mn-ea"/>
                <a:cs typeface="+mn-cs"/>
              </a:rPr>
              <a:t>Country Cost Analysis:</a:t>
            </a:r>
          </a:p>
        </xdr:txBody>
      </xdr:sp>
      <xdr:sp macro="" textlink="">
        <xdr:nvSpPr>
          <xdr:cNvPr id="111" name="TextBox 110">
            <a:extLst>
              <a:ext uri="{FF2B5EF4-FFF2-40B4-BE49-F238E27FC236}">
                <a16:creationId xmlns:a16="http://schemas.microsoft.com/office/drawing/2014/main" id="{00000000-0008-0000-0500-00006F000000}"/>
              </a:ext>
            </a:extLst>
          </xdr:cNvPr>
          <xdr:cNvSpPr txBox="1"/>
        </xdr:nvSpPr>
        <xdr:spPr>
          <a:xfrm>
            <a:off x="2855462" y="4332314"/>
            <a:ext cx="9310282" cy="5700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a:solidFill>
                  <a:schemeClr val="bg1"/>
                </a:solidFill>
              </a:rPr>
              <a:t>Supply chain spending is distributed across multiple countries, with </a:t>
            </a:r>
            <a:r>
              <a:rPr lang="en-US" sz="1000" b="1">
                <a:solidFill>
                  <a:schemeClr val="bg1"/>
                </a:solidFill>
              </a:rPr>
              <a:t>Germany representing the highest operational cost</a:t>
            </a:r>
            <a:r>
              <a:rPr lang="en-US" sz="1000">
                <a:solidFill>
                  <a:schemeClr val="bg1"/>
                </a:solidFill>
              </a:rPr>
              <a:t>, followed by </a:t>
            </a:r>
            <a:r>
              <a:rPr lang="en-US" sz="1000" b="1">
                <a:solidFill>
                  <a:schemeClr val="bg1"/>
                </a:solidFill>
              </a:rPr>
              <a:t>India</a:t>
            </a:r>
            <a:r>
              <a:rPr lang="en-US" sz="1000">
                <a:solidFill>
                  <a:schemeClr val="bg1"/>
                </a:solidFill>
              </a:rPr>
              <a:t>, </a:t>
            </a:r>
            <a:r>
              <a:rPr lang="en-US" sz="1000" b="1">
                <a:solidFill>
                  <a:schemeClr val="bg1"/>
                </a:solidFill>
              </a:rPr>
              <a:t>China</a:t>
            </a:r>
            <a:r>
              <a:rPr lang="en-US" sz="1000">
                <a:solidFill>
                  <a:schemeClr val="bg1"/>
                </a:solidFill>
              </a:rPr>
              <a:t>, and the </a:t>
            </a:r>
            <a:r>
              <a:rPr lang="en-US" sz="1000" b="1">
                <a:solidFill>
                  <a:schemeClr val="bg1"/>
                </a:solidFill>
              </a:rPr>
              <a:t>USA</a:t>
            </a:r>
            <a:r>
              <a:rPr lang="en-US" sz="1000">
                <a:solidFill>
                  <a:schemeClr val="bg1"/>
                </a:solidFill>
              </a:rPr>
              <a:t>.</a:t>
            </a:r>
          </a:p>
          <a:p>
            <a:r>
              <a:rPr lang="en-US" sz="1000">
                <a:solidFill>
                  <a:schemeClr val="bg1"/>
                </a:solidFill>
              </a:rPr>
              <a:t>The higher costs observed in specific regions may indicate increased procurement expenses, transportation costs, or supplier pricing differences. Regular supplier evaluation and regional cost optimization could improve overall profitability.</a:t>
            </a:r>
          </a:p>
        </xdr:txBody>
      </xdr:sp>
      <xdr:sp macro="" textlink="">
        <xdr:nvSpPr>
          <xdr:cNvPr id="112" name="TextBox 50">
            <a:extLst>
              <a:ext uri="{FF2B5EF4-FFF2-40B4-BE49-F238E27FC236}">
                <a16:creationId xmlns:a16="http://schemas.microsoft.com/office/drawing/2014/main" id="{00000000-0008-0000-0500-000070000000}"/>
              </a:ext>
            </a:extLst>
          </xdr:cNvPr>
          <xdr:cNvSpPr txBox="1"/>
        </xdr:nvSpPr>
        <xdr:spPr>
          <a:xfrm>
            <a:off x="2880471" y="4875533"/>
            <a:ext cx="3769739" cy="29152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kern="1200">
                <a:solidFill>
                  <a:srgbClr val="FFC409"/>
                </a:solidFill>
                <a:effectLst/>
                <a:latin typeface="+mn-lt"/>
                <a:ea typeface="+mn-ea"/>
                <a:cs typeface="+mn-cs"/>
              </a:rPr>
              <a:t>Order Status Performance:</a:t>
            </a:r>
          </a:p>
        </xdr:txBody>
      </xdr:sp>
      <xdr:sp macro="" textlink="">
        <xdr:nvSpPr>
          <xdr:cNvPr id="113" name="TextBox 112">
            <a:extLst>
              <a:ext uri="{FF2B5EF4-FFF2-40B4-BE49-F238E27FC236}">
                <a16:creationId xmlns:a16="http://schemas.microsoft.com/office/drawing/2014/main" id="{00000000-0008-0000-0500-000071000000}"/>
              </a:ext>
            </a:extLst>
          </xdr:cNvPr>
          <xdr:cNvSpPr txBox="1"/>
        </xdr:nvSpPr>
        <xdr:spPr>
          <a:xfrm>
            <a:off x="2855462" y="5069529"/>
            <a:ext cx="9310282" cy="4787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a:solidFill>
                  <a:schemeClr val="bg1"/>
                </a:solidFill>
              </a:rPr>
              <a:t>Operational execution remains strong, with </a:t>
            </a:r>
            <a:r>
              <a:rPr lang="en-US" sz="1000" b="1">
                <a:solidFill>
                  <a:schemeClr val="bg1"/>
                </a:solidFill>
              </a:rPr>
              <a:t>47 successfully delivered orders</a:t>
            </a:r>
            <a:r>
              <a:rPr lang="en-US" sz="1000">
                <a:solidFill>
                  <a:schemeClr val="bg1"/>
                </a:solidFill>
              </a:rPr>
              <a:t>, compared to </a:t>
            </a:r>
            <a:r>
              <a:rPr lang="en-US" sz="1000" b="1">
                <a:solidFill>
                  <a:schemeClr val="bg1"/>
                </a:solidFill>
              </a:rPr>
              <a:t>25 pending</a:t>
            </a:r>
            <a:r>
              <a:rPr lang="en-US" sz="1000">
                <a:solidFill>
                  <a:schemeClr val="bg1"/>
                </a:solidFill>
              </a:rPr>
              <a:t> and </a:t>
            </a:r>
            <a:r>
              <a:rPr lang="en-US" sz="1000" b="1">
                <a:solidFill>
                  <a:schemeClr val="bg1"/>
                </a:solidFill>
              </a:rPr>
              <a:t>17 cancelled</a:t>
            </a:r>
            <a:r>
              <a:rPr lang="en-US" sz="1000">
                <a:solidFill>
                  <a:schemeClr val="bg1"/>
                </a:solidFill>
              </a:rPr>
              <a:t> orders.</a:t>
            </a:r>
          </a:p>
          <a:p>
            <a:r>
              <a:rPr lang="en-US" sz="1000">
                <a:solidFill>
                  <a:schemeClr val="bg1"/>
                </a:solidFill>
              </a:rPr>
              <a:t>While the delivery rate demonstrates effective order fulfillment, the volume of pending and cancelled orders highlights opportunities to improve inventory availability, production planning, and customer service responsiveness.</a:t>
            </a:r>
          </a:p>
        </xdr:txBody>
      </xdr:sp>
      <xdr:cxnSp macro="">
        <xdr:nvCxnSpPr>
          <xdr:cNvPr id="114" name="Straight Connector 113">
            <a:extLst>
              <a:ext uri="{FF2B5EF4-FFF2-40B4-BE49-F238E27FC236}">
                <a16:creationId xmlns:a16="http://schemas.microsoft.com/office/drawing/2014/main" id="{00000000-0008-0000-0500-000072000000}"/>
              </a:ext>
            </a:extLst>
          </xdr:cNvPr>
          <xdr:cNvCxnSpPr/>
        </xdr:nvCxnSpPr>
        <xdr:spPr>
          <a:xfrm>
            <a:off x="2967991" y="3397039"/>
            <a:ext cx="9065377" cy="0"/>
          </a:xfrm>
          <a:prstGeom prst="line">
            <a:avLst/>
          </a:prstGeom>
          <a:ln>
            <a:solidFill>
              <a:srgbClr val="81C0FF"/>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xnSp macro="">
        <xdr:nvCxnSpPr>
          <xdr:cNvPr id="115" name="Straight Connector 114">
            <a:extLst>
              <a:ext uri="{FF2B5EF4-FFF2-40B4-BE49-F238E27FC236}">
                <a16:creationId xmlns:a16="http://schemas.microsoft.com/office/drawing/2014/main" id="{00000000-0008-0000-0500-000073000000}"/>
              </a:ext>
            </a:extLst>
          </xdr:cNvPr>
          <xdr:cNvCxnSpPr/>
        </xdr:nvCxnSpPr>
        <xdr:spPr>
          <a:xfrm>
            <a:off x="2967991" y="4152948"/>
            <a:ext cx="9065377" cy="0"/>
          </a:xfrm>
          <a:prstGeom prst="line">
            <a:avLst/>
          </a:prstGeom>
          <a:ln>
            <a:solidFill>
              <a:srgbClr val="81C0FF"/>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xnSp macro="">
        <xdr:nvCxnSpPr>
          <xdr:cNvPr id="116" name="Straight Connector 115">
            <a:extLst>
              <a:ext uri="{FF2B5EF4-FFF2-40B4-BE49-F238E27FC236}">
                <a16:creationId xmlns:a16="http://schemas.microsoft.com/office/drawing/2014/main" id="{00000000-0008-0000-0500-000074000000}"/>
              </a:ext>
            </a:extLst>
          </xdr:cNvPr>
          <xdr:cNvCxnSpPr/>
        </xdr:nvCxnSpPr>
        <xdr:spPr>
          <a:xfrm>
            <a:off x="2962492" y="4871599"/>
            <a:ext cx="9065377" cy="0"/>
          </a:xfrm>
          <a:prstGeom prst="line">
            <a:avLst/>
          </a:prstGeom>
          <a:ln>
            <a:solidFill>
              <a:srgbClr val="81C0FF"/>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sp macro="" textlink="">
        <xdr:nvSpPr>
          <xdr:cNvPr id="117" name="TextBox 50">
            <a:extLst>
              <a:ext uri="{FF2B5EF4-FFF2-40B4-BE49-F238E27FC236}">
                <a16:creationId xmlns:a16="http://schemas.microsoft.com/office/drawing/2014/main" id="{00000000-0008-0000-0500-000075000000}"/>
              </a:ext>
            </a:extLst>
          </xdr:cNvPr>
          <xdr:cNvSpPr txBox="1"/>
        </xdr:nvSpPr>
        <xdr:spPr>
          <a:xfrm>
            <a:off x="2880471" y="5441838"/>
            <a:ext cx="3769739" cy="291528"/>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kern="1200">
                <a:solidFill>
                  <a:srgbClr val="FFC409"/>
                </a:solidFill>
                <a:effectLst/>
                <a:latin typeface="+mn-lt"/>
                <a:ea typeface="+mn-ea"/>
                <a:cs typeface="+mn-cs"/>
              </a:rPr>
              <a:t>Executive Summary:</a:t>
            </a:r>
          </a:p>
        </xdr:txBody>
      </xdr:sp>
      <xdr:sp macro="" textlink="">
        <xdr:nvSpPr>
          <xdr:cNvPr id="118" name="TextBox 117">
            <a:extLst>
              <a:ext uri="{FF2B5EF4-FFF2-40B4-BE49-F238E27FC236}">
                <a16:creationId xmlns:a16="http://schemas.microsoft.com/office/drawing/2014/main" id="{00000000-0008-0000-0500-000076000000}"/>
              </a:ext>
            </a:extLst>
          </xdr:cNvPr>
          <xdr:cNvSpPr txBox="1"/>
        </xdr:nvSpPr>
        <xdr:spPr>
          <a:xfrm>
            <a:off x="2855462" y="5635834"/>
            <a:ext cx="9310282" cy="8003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a:solidFill>
                  <a:schemeClr val="bg1"/>
                </a:solidFill>
              </a:rPr>
              <a:t>The Supply Chain Dashboard demonstrates healthy operational performance with consistent order fulfillment and strong warehouse capacity. However, the analysis also identifies opportunities to improve warehouse workload distribution, transportation efficiency, regional cost control, and demand forecasting.</a:t>
            </a:r>
          </a:p>
          <a:p>
            <a:r>
              <a:rPr lang="en-US" sz="1000">
                <a:solidFill>
                  <a:schemeClr val="bg1"/>
                </a:solidFill>
              </a:rPr>
              <a:t>By optimizing logistics planning, balancing warehouse utilization, reducing transportation costs, and improving inventory management, the organization can enhance operational efficiency while lowering overall supply chain expenses.</a:t>
            </a:r>
          </a:p>
        </xdr:txBody>
      </xdr:sp>
      <xdr:cxnSp macro="">
        <xdr:nvCxnSpPr>
          <xdr:cNvPr id="119" name="Straight Connector 118">
            <a:extLst>
              <a:ext uri="{FF2B5EF4-FFF2-40B4-BE49-F238E27FC236}">
                <a16:creationId xmlns:a16="http://schemas.microsoft.com/office/drawing/2014/main" id="{00000000-0008-0000-0500-000077000000}"/>
              </a:ext>
            </a:extLst>
          </xdr:cNvPr>
          <xdr:cNvCxnSpPr/>
        </xdr:nvCxnSpPr>
        <xdr:spPr>
          <a:xfrm>
            <a:off x="2967991" y="5481937"/>
            <a:ext cx="9065377" cy="0"/>
          </a:xfrm>
          <a:prstGeom prst="line">
            <a:avLst/>
          </a:prstGeom>
          <a:ln>
            <a:solidFill>
              <a:srgbClr val="81C0FF"/>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408214</xdr:colOff>
      <xdr:row>0</xdr:row>
      <xdr:rowOff>170090</xdr:rowOff>
    </xdr:from>
    <xdr:to>
      <xdr:col>7</xdr:col>
      <xdr:colOff>578303</xdr:colOff>
      <xdr:row>3</xdr:row>
      <xdr:rowOff>149680</xdr:rowOff>
    </xdr:to>
    <xdr:sp macro="" textlink="">
      <xdr:nvSpPr>
        <xdr:cNvPr id="122" name="Rectangle 121">
          <a:hlinkClick xmlns:r="http://schemas.openxmlformats.org/officeDocument/2006/relationships" r:id="rId1"/>
          <a:extLst>
            <a:ext uri="{FF2B5EF4-FFF2-40B4-BE49-F238E27FC236}">
              <a16:creationId xmlns:a16="http://schemas.microsoft.com/office/drawing/2014/main" id="{00000000-0008-0000-0500-00007A000000}"/>
            </a:ext>
          </a:extLst>
        </xdr:cNvPr>
        <xdr:cNvSpPr/>
      </xdr:nvSpPr>
      <xdr:spPr>
        <a:xfrm>
          <a:off x="3469821" y="170090"/>
          <a:ext cx="1394732" cy="53067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40821</xdr:colOff>
      <xdr:row>0</xdr:row>
      <xdr:rowOff>170090</xdr:rowOff>
    </xdr:from>
    <xdr:to>
      <xdr:col>10</xdr:col>
      <xdr:colOff>149678</xdr:colOff>
      <xdr:row>3</xdr:row>
      <xdr:rowOff>149680</xdr:rowOff>
    </xdr:to>
    <xdr:sp macro="" textlink="">
      <xdr:nvSpPr>
        <xdr:cNvPr id="123" name="Rectangle 122">
          <a:hlinkClick xmlns:r="http://schemas.openxmlformats.org/officeDocument/2006/relationships" r:id="rId2"/>
          <a:extLst>
            <a:ext uri="{FF2B5EF4-FFF2-40B4-BE49-F238E27FC236}">
              <a16:creationId xmlns:a16="http://schemas.microsoft.com/office/drawing/2014/main" id="{00000000-0008-0000-0500-00007B000000}"/>
            </a:ext>
          </a:extLst>
        </xdr:cNvPr>
        <xdr:cNvSpPr/>
      </xdr:nvSpPr>
      <xdr:spPr>
        <a:xfrm>
          <a:off x="4939392" y="170090"/>
          <a:ext cx="1333500" cy="53067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238124</xdr:colOff>
      <xdr:row>0</xdr:row>
      <xdr:rowOff>170090</xdr:rowOff>
    </xdr:from>
    <xdr:to>
      <xdr:col>12</xdr:col>
      <xdr:colOff>346981</xdr:colOff>
      <xdr:row>3</xdr:row>
      <xdr:rowOff>149680</xdr:rowOff>
    </xdr:to>
    <xdr:sp macro="" textlink="">
      <xdr:nvSpPr>
        <xdr:cNvPr id="124" name="Rectangle 123">
          <a:hlinkClick xmlns:r="http://schemas.openxmlformats.org/officeDocument/2006/relationships" r:id="rId3"/>
          <a:extLst>
            <a:ext uri="{FF2B5EF4-FFF2-40B4-BE49-F238E27FC236}">
              <a16:creationId xmlns:a16="http://schemas.microsoft.com/office/drawing/2014/main" id="{00000000-0008-0000-0500-00007C000000}"/>
            </a:ext>
          </a:extLst>
        </xdr:cNvPr>
        <xdr:cNvSpPr/>
      </xdr:nvSpPr>
      <xdr:spPr>
        <a:xfrm>
          <a:off x="6361338" y="170090"/>
          <a:ext cx="1333500" cy="53067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428624</xdr:colOff>
      <xdr:row>0</xdr:row>
      <xdr:rowOff>170090</xdr:rowOff>
    </xdr:from>
    <xdr:to>
      <xdr:col>14</xdr:col>
      <xdr:colOff>537481</xdr:colOff>
      <xdr:row>3</xdr:row>
      <xdr:rowOff>149680</xdr:rowOff>
    </xdr:to>
    <xdr:sp macro="" textlink="">
      <xdr:nvSpPr>
        <xdr:cNvPr id="125" name="Rectangle 124">
          <a:hlinkClick xmlns:r="http://schemas.openxmlformats.org/officeDocument/2006/relationships" r:id="rId4"/>
          <a:extLst>
            <a:ext uri="{FF2B5EF4-FFF2-40B4-BE49-F238E27FC236}">
              <a16:creationId xmlns:a16="http://schemas.microsoft.com/office/drawing/2014/main" id="{00000000-0008-0000-0500-00007D000000}"/>
            </a:ext>
          </a:extLst>
        </xdr:cNvPr>
        <xdr:cNvSpPr/>
      </xdr:nvSpPr>
      <xdr:spPr>
        <a:xfrm>
          <a:off x="7776481" y="170090"/>
          <a:ext cx="1333500" cy="53067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40821</xdr:colOff>
      <xdr:row>0</xdr:row>
      <xdr:rowOff>170090</xdr:rowOff>
    </xdr:from>
    <xdr:to>
      <xdr:col>17</xdr:col>
      <xdr:colOff>149678</xdr:colOff>
      <xdr:row>3</xdr:row>
      <xdr:rowOff>149680</xdr:rowOff>
    </xdr:to>
    <xdr:sp macro="" textlink="">
      <xdr:nvSpPr>
        <xdr:cNvPr id="126" name="Rectangle 125">
          <a:hlinkClick xmlns:r="http://schemas.openxmlformats.org/officeDocument/2006/relationships" r:id="rId5"/>
          <a:extLst>
            <a:ext uri="{FF2B5EF4-FFF2-40B4-BE49-F238E27FC236}">
              <a16:creationId xmlns:a16="http://schemas.microsoft.com/office/drawing/2014/main" id="{00000000-0008-0000-0500-00007E000000}"/>
            </a:ext>
          </a:extLst>
        </xdr:cNvPr>
        <xdr:cNvSpPr/>
      </xdr:nvSpPr>
      <xdr:spPr>
        <a:xfrm>
          <a:off x="9225642" y="170090"/>
          <a:ext cx="1333500" cy="53067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refreshedDate="46207.832344675924" backgroundQuery="1" createdVersion="8" refreshedVersion="8" minRefreshableVersion="3" recordCount="471" xr:uid="{C40F2721-9695-4593-9B8A-1F73C07A35CF}">
  <cacheSource type="external" connectionId="1"/>
  <cacheFields count="18">
    <cacheField name="Order_ID" numFmtId="0">
      <sharedItems/>
    </cacheField>
    <cacheField name="Product" numFmtId="0">
      <sharedItems count="4">
        <s v="Tool D"/>
        <s v="Gadget C"/>
        <s v="Widget A"/>
        <s v="Widget B"/>
      </sharedItems>
    </cacheField>
    <cacheField name="Category" numFmtId="0">
      <sharedItems count="3">
        <s v="Electronics"/>
        <s v="Hardware"/>
        <s v="Accessories"/>
      </sharedItems>
    </cacheField>
    <cacheField name="Supplier" numFmtId="0">
      <sharedItems count="3">
        <s v="Supplierx"/>
        <s v="Supplierz"/>
        <s v="Suppliery"/>
      </sharedItems>
    </cacheField>
    <cacheField name="Country" numFmtId="0">
      <sharedItems count="4">
        <s v="China"/>
        <s v="Germany"/>
        <s v="USA"/>
        <s v="India"/>
      </sharedItems>
    </cacheField>
    <cacheField name="Order_Date" numFmtId="0">
      <sharedItems containsSemiMixedTypes="0" containsNonDate="0" containsDate="1" containsString="0" minDate="2023-01-01T00:00:00" maxDate="2025-01-01T00:00:00" count="331">
        <d v="2023-05-25T00:00:00"/>
        <d v="2024-06-21T00:00:00"/>
        <d v="2024-10-09T00:00:00"/>
        <d v="2023-10-30T00:00:00"/>
        <d v="2023-12-11T00:00:00"/>
        <d v="2023-01-01T00:00:00"/>
        <d v="2023-05-27T00:00:00"/>
        <d v="2023-10-14T00:00:00"/>
        <d v="2024-10-15T00:00:00"/>
        <d v="2023-02-22T00:00:00"/>
        <d v="2023-10-31T00:00:00"/>
        <d v="2023-12-27T00:00:00"/>
        <d v="2024-08-24T00:00:00"/>
        <d v="2023-08-08T00:00:00"/>
        <d v="2024-12-04T00:00:00"/>
        <d v="2024-07-28T00:00:00"/>
        <d v="2024-08-07T00:00:00"/>
        <d v="2023-06-10T00:00:00"/>
        <d v="2024-11-11T00:00:00"/>
        <d v="2023-03-30T00:00:00"/>
        <d v="2024-11-18T00:00:00"/>
        <d v="2024-08-11T00:00:00"/>
        <d v="2023-06-08T00:00:00"/>
        <d v="2024-05-03T00:00:00"/>
        <d v="2023-11-20T00:00:00"/>
        <d v="2024-09-01T00:00:00"/>
        <d v="2024-01-16T00:00:00"/>
        <d v="2023-04-12T00:00:00"/>
        <d v="2024-05-08T00:00:00"/>
        <d v="2024-10-05T00:00:00"/>
        <d v="2024-09-05T00:00:00"/>
        <d v="2023-01-19T00:00:00"/>
        <d v="2024-03-29T00:00:00"/>
        <d v="2024-04-26T00:00:00"/>
        <d v="2024-08-16T00:00:00"/>
        <d v="2024-02-01T00:00:00"/>
        <d v="2023-10-06T00:00:00"/>
        <d v="2023-12-31T00:00:00"/>
        <d v="2023-11-27T00:00:00"/>
        <d v="2024-10-02T00:00:00"/>
        <d v="2023-12-10T00:00:00"/>
        <d v="2024-03-30T00:00:00"/>
        <d v="2024-08-23T00:00:00"/>
        <d v="2024-12-25T00:00:00"/>
        <d v="2024-10-16T00:00:00"/>
        <d v="2023-03-06T00:00:00"/>
        <d v="2024-12-11T00:00:00"/>
        <d v="2023-05-23T00:00:00"/>
        <d v="2024-08-27T00:00:00"/>
        <d v="2024-04-17T00:00:00"/>
        <d v="2024-02-21T00:00:00"/>
        <d v="2023-11-01T00:00:00"/>
        <d v="2024-05-11T00:00:00"/>
        <d v="2023-10-18T00:00:00"/>
        <d v="2023-09-24T00:00:00"/>
        <d v="2024-09-13T00:00:00"/>
        <d v="2023-01-03T00:00:00"/>
        <d v="2023-03-26T00:00:00"/>
        <d v="2023-11-24T00:00:00"/>
        <d v="2024-03-25T00:00:00"/>
        <d v="2024-09-20T00:00:00"/>
        <d v="2023-08-09T00:00:00"/>
        <d v="2023-06-03T00:00:00"/>
        <d v="2024-10-26T00:00:00"/>
        <d v="2023-05-13T00:00:00"/>
        <d v="2023-10-20T00:00:00"/>
        <d v="2023-10-27T00:00:00"/>
        <d v="2023-02-12T00:00:00"/>
        <d v="2023-12-09T00:00:00"/>
        <d v="2023-11-22T00:00:00"/>
        <d v="2024-05-12T00:00:00"/>
        <d v="2023-12-30T00:00:00"/>
        <d v="2024-03-02T00:00:00"/>
        <d v="2023-01-21T00:00:00"/>
        <d v="2024-02-11T00:00:00"/>
        <d v="2024-09-10T00:00:00"/>
        <d v="2023-12-02T00:00:00"/>
        <d v="2023-04-27T00:00:00"/>
        <d v="2023-05-04T00:00:00"/>
        <d v="2024-02-03T00:00:00"/>
        <d v="2024-12-15T00:00:00"/>
        <d v="2023-02-20T00:00:00"/>
        <d v="2023-05-21T00:00:00"/>
        <d v="2024-04-14T00:00:00"/>
        <d v="2023-11-30T00:00:00"/>
        <d v="2024-01-08T00:00:00"/>
        <d v="2024-07-17T00:00:00"/>
        <d v="2024-06-22T00:00:00"/>
        <d v="2024-10-30T00:00:00"/>
        <d v="2023-06-05T00:00:00"/>
        <d v="2023-05-24T00:00:00"/>
        <d v="2023-04-16T00:00:00"/>
        <d v="2024-02-24T00:00:00"/>
        <d v="2024-10-31T00:00:00"/>
        <d v="2024-10-19T00:00:00"/>
        <d v="2023-01-02T00:00:00"/>
        <d v="2023-03-31T00:00:00"/>
        <d v="2024-04-03T00:00:00"/>
        <d v="2023-09-20T00:00:00"/>
        <d v="2023-12-17T00:00:00"/>
        <d v="2023-04-18T00:00:00"/>
        <d v="2023-02-08T00:00:00"/>
        <d v="2024-08-05T00:00:00"/>
        <d v="2023-11-08T00:00:00"/>
        <d v="2023-08-29T00:00:00"/>
        <d v="2024-03-20T00:00:00"/>
        <d v="2023-02-05T00:00:00"/>
        <d v="2023-03-25T00:00:00"/>
        <d v="2024-01-20T00:00:00"/>
        <d v="2023-06-21T00:00:00"/>
        <d v="2024-01-11T00:00:00"/>
        <d v="2024-11-15T00:00:00"/>
        <d v="2023-12-28T00:00:00"/>
        <d v="2024-07-12T00:00:00"/>
        <d v="2023-04-28T00:00:00"/>
        <d v="2023-10-04T00:00:00"/>
        <d v="2024-12-26T00:00:00"/>
        <d v="2023-01-26T00:00:00"/>
        <d v="2024-06-04T00:00:00"/>
        <d v="2023-01-10T00:00:00"/>
        <d v="2024-01-13T00:00:00"/>
        <d v="2024-09-24T00:00:00"/>
        <d v="2024-09-28T00:00:00"/>
        <d v="2024-11-12T00:00:00"/>
        <d v="2024-08-06T00:00:00"/>
        <d v="2023-06-01T00:00:00"/>
        <d v="2024-12-20T00:00:00"/>
        <d v="2023-02-18T00:00:00"/>
        <d v="2024-08-02T00:00:00"/>
        <d v="2023-02-19T00:00:00"/>
        <d v="2024-10-25T00:00:00"/>
        <d v="2024-06-14T00:00:00"/>
        <d v="2024-09-03T00:00:00"/>
        <d v="2023-03-01T00:00:00"/>
        <d v="2023-06-16T00:00:00"/>
        <d v="2023-07-21T00:00:00"/>
        <d v="2023-05-26T00:00:00"/>
        <d v="2024-11-06T00:00:00"/>
        <d v="2024-03-14T00:00:00"/>
        <d v="2023-08-30T00:00:00"/>
        <d v="2024-08-03T00:00:00"/>
        <d v="2024-11-17T00:00:00"/>
        <d v="2024-07-14T00:00:00"/>
        <d v="2024-04-27T00:00:00"/>
        <d v="2024-11-03T00:00:00"/>
        <d v="2024-09-22T00:00:00"/>
        <d v="2024-10-22T00:00:00"/>
        <d v="2024-10-23T00:00:00"/>
        <d v="2024-03-07T00:00:00"/>
        <d v="2024-02-23T00:00:00"/>
        <d v="2023-06-09T00:00:00"/>
        <d v="2024-06-06T00:00:00"/>
        <d v="2024-10-11T00:00:00"/>
        <d v="2024-08-12T00:00:00"/>
        <d v="2023-03-18T00:00:00"/>
        <d v="2024-05-23T00:00:00"/>
        <d v="2024-03-16T00:00:00"/>
        <d v="2023-09-11T00:00:00"/>
        <d v="2023-11-16T00:00:00"/>
        <d v="2024-08-19T00:00:00"/>
        <d v="2024-07-07T00:00:00"/>
        <d v="2024-01-09T00:00:00"/>
        <d v="2023-10-07T00:00:00"/>
        <d v="2024-11-30T00:00:00"/>
        <d v="2023-10-29T00:00:00"/>
        <d v="2023-08-06T00:00:00"/>
        <d v="2023-10-15T00:00:00"/>
        <d v="2024-09-12T00:00:00"/>
        <d v="2023-12-19T00:00:00"/>
        <d v="2023-03-14T00:00:00"/>
        <d v="2023-03-11T00:00:00"/>
        <d v="2024-02-29T00:00:00"/>
        <d v="2024-12-08T00:00:00"/>
        <d v="2024-05-31T00:00:00"/>
        <d v="2024-03-03T00:00:00"/>
        <d v="2023-05-29T00:00:00"/>
        <d v="2023-08-18T00:00:00"/>
        <d v="2024-12-12T00:00:00"/>
        <d v="2024-07-15T00:00:00"/>
        <d v="2023-03-08T00:00:00"/>
        <d v="2023-02-27T00:00:00"/>
        <d v="2023-12-08T00:00:00"/>
        <d v="2023-05-10T00:00:00"/>
        <d v="2024-12-27T00:00:00"/>
        <d v="2023-07-28T00:00:00"/>
        <d v="2023-12-20T00:00:00"/>
        <d v="2024-04-15T00:00:00"/>
        <d v="2023-04-26T00:00:00"/>
        <d v="2023-09-21T00:00:00"/>
        <d v="2024-03-17T00:00:00"/>
        <d v="2024-07-01T00:00:00"/>
        <d v="2024-03-28T00:00:00"/>
        <d v="2024-04-21T00:00:00"/>
        <d v="2023-11-07T00:00:00"/>
        <d v="2023-07-27T00:00:00"/>
        <d v="2024-09-09T00:00:00"/>
        <d v="2024-03-21T00:00:00"/>
        <d v="2023-02-24T00:00:00"/>
        <d v="2023-01-12T00:00:00"/>
        <d v="2024-10-18T00:00:00"/>
        <d v="2024-02-04T00:00:00"/>
        <d v="2024-05-29T00:00:00"/>
        <d v="2024-10-17T00:00:00"/>
        <d v="2024-06-25T00:00:00"/>
        <d v="2023-08-25T00:00:00"/>
        <d v="2023-12-14T00:00:00"/>
        <d v="2024-09-18T00:00:00"/>
        <d v="2023-04-14T00:00:00"/>
        <d v="2024-09-21T00:00:00"/>
        <d v="2023-09-05T00:00:00"/>
        <d v="2023-11-17T00:00:00"/>
        <d v="2023-10-13T00:00:00"/>
        <d v="2024-02-10T00:00:00"/>
        <d v="2024-03-31T00:00:00"/>
        <d v="2024-04-04T00:00:00"/>
        <d v="2024-07-03T00:00:00"/>
        <d v="2024-05-14T00:00:00"/>
        <d v="2024-04-25T00:00:00"/>
        <d v="2024-10-24T00:00:00"/>
        <d v="2023-04-24T00:00:00"/>
        <d v="2024-07-31T00:00:00"/>
        <d v="2023-12-07T00:00:00"/>
        <d v="2024-03-24T00:00:00"/>
        <d v="2023-06-29T00:00:00"/>
        <d v="2024-12-02T00:00:00"/>
        <d v="2024-10-27T00:00:00"/>
        <d v="2023-07-15T00:00:00"/>
        <d v="2024-04-10T00:00:00"/>
        <d v="2023-09-19T00:00:00"/>
        <d v="2023-11-12T00:00:00"/>
        <d v="2023-04-11T00:00:00"/>
        <d v="2023-09-01T00:00:00"/>
        <d v="2024-05-04T00:00:00"/>
        <d v="2023-08-27T00:00:00"/>
        <d v="2023-02-11T00:00:00"/>
        <d v="2024-11-08T00:00:00"/>
        <d v="2024-03-04T00:00:00"/>
        <d v="2023-06-07T00:00:00"/>
        <d v="2023-08-04T00:00:00"/>
        <d v="2024-04-06T00:00:00"/>
        <d v="2023-05-14T00:00:00"/>
        <d v="2023-01-07T00:00:00"/>
        <d v="2024-06-09T00:00:00"/>
        <d v="2024-02-09T00:00:00"/>
        <d v="2024-11-05T00:00:00"/>
        <d v="2023-07-25T00:00:00"/>
        <d v="2023-09-23T00:00:00"/>
        <d v="2024-06-20T00:00:00"/>
        <d v="2023-09-10T00:00:00"/>
        <d v="2023-10-16T00:00:00"/>
        <d v="2023-06-13T00:00:00"/>
        <d v="2023-04-20T00:00:00"/>
        <d v="2023-08-26T00:00:00"/>
        <d v="2024-03-11T00:00:00"/>
        <d v="2023-01-25T00:00:00"/>
        <d v="2024-10-14T00:00:00"/>
        <d v="2024-01-27T00:00:00"/>
        <d v="2023-03-20T00:00:00"/>
        <d v="2023-06-22T00:00:00"/>
        <d v="2023-05-08T00:00:00"/>
        <d v="2024-08-30T00:00:00"/>
        <d v="2023-04-02T00:00:00"/>
        <d v="2024-06-26T00:00:00"/>
        <d v="2024-06-15T00:00:00"/>
        <d v="2024-03-22T00:00:00"/>
        <d v="2024-01-25T00:00:00"/>
        <d v="2024-11-02T00:00:00"/>
        <d v="2024-04-11T00:00:00"/>
        <d v="2024-10-03T00:00:00"/>
        <d v="2024-01-17T00:00:00"/>
        <d v="2024-11-20T00:00:00"/>
        <d v="2023-02-25T00:00:00"/>
        <d v="2024-04-07T00:00:00"/>
        <d v="2024-04-01T00:00:00"/>
        <d v="2023-03-24T00:00:00"/>
        <d v="2023-04-09T00:00:00"/>
        <d v="2023-11-25T00:00:00"/>
        <d v="2023-07-09T00:00:00"/>
        <d v="2023-03-21T00:00:00"/>
        <d v="2024-08-31T00:00:00"/>
        <d v="2023-09-17T00:00:00"/>
        <d v="2024-09-06T00:00:00"/>
        <d v="2024-07-05T00:00:00"/>
        <d v="2024-01-15T00:00:00"/>
        <d v="2024-02-26T00:00:00"/>
        <d v="2023-08-19T00:00:00"/>
        <d v="2023-03-04T00:00:00"/>
        <d v="2024-04-29T00:00:00"/>
        <d v="2024-09-19T00:00:00"/>
        <d v="2024-12-03T00:00:00"/>
        <d v="2024-07-27T00:00:00"/>
        <d v="2024-06-02T00:00:00"/>
        <d v="2023-06-04T00:00:00"/>
        <d v="2024-10-06T00:00:00"/>
        <d v="2024-05-24T00:00:00"/>
        <d v="2023-07-02T00:00:00"/>
        <d v="2024-01-21T00:00:00"/>
        <d v="2024-12-31T00:00:00"/>
        <d v="2023-09-03T00:00:00"/>
        <d v="2024-08-13T00:00:00"/>
        <d v="2024-02-27T00:00:00"/>
        <d v="2023-01-13T00:00:00"/>
        <d v="2023-08-01T00:00:00"/>
        <d v="2024-05-07T00:00:00"/>
        <d v="2024-11-23T00:00:00"/>
        <d v="2023-12-04T00:00:00"/>
        <d v="2024-04-09T00:00:00"/>
        <d v="2024-01-30T00:00:00"/>
        <d v="2023-11-04T00:00:00"/>
        <d v="2024-06-29T00:00:00"/>
        <d v="2024-09-15T00:00:00"/>
        <d v="2023-08-15T00:00:00"/>
        <d v="2024-09-16T00:00:00"/>
        <d v="2023-07-11T00:00:00"/>
        <d v="2023-01-17T00:00:00"/>
        <d v="2023-04-30T00:00:00"/>
        <d v="2024-01-28T00:00:00"/>
        <d v="2023-05-09T00:00:00"/>
        <d v="2024-07-25T00:00:00"/>
        <d v="2024-07-13T00:00:00"/>
        <d v="2023-01-29T00:00:00"/>
        <d v="2023-04-07T00:00:00"/>
        <d v="2023-08-20T00:00:00"/>
        <d v="2023-10-11T00:00:00"/>
        <d v="2023-07-19T00:00:00"/>
        <d v="2024-02-20T00:00:00"/>
        <d v="2023-03-28T00:00:00"/>
        <d v="2023-01-08T00:00:00"/>
        <d v="2024-05-19T00:00:00"/>
        <d v="2024-03-10T00:00:00"/>
        <d v="2024-02-12T00:00:00"/>
      </sharedItems>
      <fieldGroup par="17"/>
    </cacheField>
    <cacheField name="Ship_Date" numFmtId="0">
      <sharedItems containsNonDate="0" containsDate="1" containsString="0" containsBlank="1" minDate="2023-01-09T00:00:00" maxDate="2025-01-07T00:00:00"/>
    </cacheField>
    <cacheField name="Delivery_Date" numFmtId="0">
      <sharedItems containsSemiMixedTypes="0" containsNonDate="0" containsDate="1" containsString="0" minDate="2023-01-05T00:00:00" maxDate="2025-01-13T00:00:00"/>
    </cacheField>
    <cacheField name="Quantity" numFmtId="0">
      <sharedItems containsString="0" containsBlank="1" containsNumber="1" containsInteger="1" minValue="1" maxValue="199"/>
    </cacheField>
    <cacheField name="Unit_Price" numFmtId="0">
      <sharedItems containsSemiMixedTypes="0" containsString="0" containsNumber="1" minValue="5.01" maxValue="498.61"/>
    </cacheField>
    <cacheField name="Total_Cost" numFmtId="0">
      <sharedItems containsSemiMixedTypes="0" containsString="0" containsNumber="1" minValue="56.5" maxValue="9995.6"/>
    </cacheField>
    <cacheField name="Warehouse" numFmtId="0">
      <sharedItems count="4">
        <s v="WH1"/>
        <s v="WH2"/>
        <s v="WH3"/>
        <s v="WH1 " u="1"/>
      </sharedItems>
    </cacheField>
    <cacheField name="Transport_Mode" numFmtId="0">
      <sharedItems count="4">
        <s v="Sea"/>
        <s v="Rail"/>
        <s v="Road"/>
        <s v="Air"/>
      </sharedItems>
    </cacheField>
    <cacheField name="Status" numFmtId="0">
      <sharedItems count="4">
        <s v="Delivered"/>
        <s v="Pending"/>
        <s v="Cancelled"/>
        <s v="Delivered " u="1"/>
      </sharedItems>
    </cacheField>
    <cacheField name="Delay_Days" numFmtId="0">
      <sharedItems containsSemiMixedTypes="0" containsString="0" containsNumber="1" containsInteger="1" minValue="0" maxValue="29" count="30">
        <n v="18"/>
        <n v="20"/>
        <n v="7"/>
        <n v="0"/>
        <n v="16"/>
        <n v="6"/>
        <n v="13"/>
        <n v="29"/>
        <n v="4"/>
        <n v="25"/>
        <n v="24"/>
        <n v="19"/>
        <n v="28"/>
        <n v="5"/>
        <n v="10"/>
        <n v="3"/>
        <n v="17"/>
        <n v="12"/>
        <n v="23"/>
        <n v="11"/>
        <n v="9"/>
        <n v="26"/>
        <n v="15"/>
        <n v="22"/>
        <n v="21"/>
        <n v="27"/>
        <n v="14"/>
        <n v="2"/>
        <n v="8"/>
        <n v="1"/>
      </sharedItems>
    </cacheField>
    <cacheField name="Months (Order_Date)" numFmtId="0" databaseField="0">
      <fieldGroup base="5">
        <rangePr groupBy="months" startDate="2023-01-01T00:00:00" endDate="2025-01-01T00:00:00"/>
        <groupItems count="14">
          <s v="&lt;1/1/2023"/>
          <s v="Jan"/>
          <s v="Feb"/>
          <s v="Mar"/>
          <s v="Apr"/>
          <s v="May"/>
          <s v="Jun"/>
          <s v="Jul"/>
          <s v="Aug"/>
          <s v="Sep"/>
          <s v="Oct"/>
          <s v="Nov"/>
          <s v="Dec"/>
          <s v="&gt;1/1/2025"/>
        </groupItems>
      </fieldGroup>
    </cacheField>
    <cacheField name="Quarters (Order_Date)" numFmtId="0" databaseField="0">
      <fieldGroup base="5">
        <rangePr groupBy="quarters" startDate="2023-01-01T00:00:00" endDate="2025-01-01T00:00:00"/>
        <groupItems count="6">
          <s v="&lt;1/1/2023"/>
          <s v="Qtr1"/>
          <s v="Qtr2"/>
          <s v="Qtr3"/>
          <s v="Qtr4"/>
          <s v="&gt;1/1/2025"/>
        </groupItems>
      </fieldGroup>
    </cacheField>
    <cacheField name="Years (Order_Date)" numFmtId="0" databaseField="0">
      <fieldGroup base="5">
        <rangePr groupBy="years" startDate="2023-01-01T00:00:00" endDate="2025-01-01T00:00:00"/>
        <groupItems count="5">
          <s v="&lt;1/1/2023"/>
          <s v="2023"/>
          <s v="2024"/>
          <s v="2025"/>
          <s v="&gt;1/1/2025"/>
        </groupItems>
      </fieldGroup>
    </cacheField>
  </cacheFields>
  <extLst>
    <ext xmlns:x14="http://schemas.microsoft.com/office/spreadsheetml/2009/9/main" uri="{725AE2AE-9491-48be-B2B4-4EB974FC3084}">
      <x14:pivotCacheDefinition pivotCacheId="1531009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1">
  <r>
    <s v="ORD1001"/>
    <x v="0"/>
    <x v="0"/>
    <x v="0"/>
    <x v="0"/>
    <x v="0"/>
    <d v="2023-10-05T00:00:00"/>
    <d v="2023-08-10T00:00:00"/>
    <n v="38"/>
    <n v="217.21"/>
    <n v="1946.57"/>
    <x v="0"/>
    <x v="0"/>
    <x v="0"/>
    <x v="0"/>
  </r>
  <r>
    <s v="ORD1002"/>
    <x v="1"/>
    <x v="1"/>
    <x v="1"/>
    <x v="1"/>
    <x v="1"/>
    <d v="2023-08-21T00:00:00"/>
    <d v="2023-07-13T00:00:00"/>
    <n v="67"/>
    <n v="19.440000000000001"/>
    <n v="1303.72"/>
    <x v="1"/>
    <x v="0"/>
    <x v="0"/>
    <x v="1"/>
  </r>
  <r>
    <s v="ORD1003"/>
    <x v="1"/>
    <x v="1"/>
    <x v="0"/>
    <x v="2"/>
    <x v="2"/>
    <d v="2024-01-02T00:00:00"/>
    <d v="2024-02-25T00:00:00"/>
    <n v="187"/>
    <n v="243.04"/>
    <n v="4262.18"/>
    <x v="0"/>
    <x v="1"/>
    <x v="1"/>
    <x v="2"/>
  </r>
  <r>
    <s v="ORD1004"/>
    <x v="1"/>
    <x v="1"/>
    <x v="0"/>
    <x v="3"/>
    <x v="3"/>
    <d v="2023-08-17T00:00:00"/>
    <d v="2024-11-09T00:00:00"/>
    <n v="69"/>
    <n v="332.9"/>
    <n v="7763.68"/>
    <x v="0"/>
    <x v="2"/>
    <x v="0"/>
    <x v="3"/>
  </r>
  <r>
    <s v="ORD1006"/>
    <x v="1"/>
    <x v="1"/>
    <x v="1"/>
    <x v="1"/>
    <x v="4"/>
    <d v="2024-03-12T00:00:00"/>
    <d v="2024-07-03T00:00:00"/>
    <n v="175"/>
    <n v="148"/>
    <n v="7263.81"/>
    <x v="0"/>
    <x v="3"/>
    <x v="0"/>
    <x v="4"/>
  </r>
  <r>
    <s v="ORD1007"/>
    <x v="1"/>
    <x v="1"/>
    <x v="1"/>
    <x v="1"/>
    <x v="5"/>
    <d v="2024-02-04T00:00:00"/>
    <d v="2023-02-14T00:00:00"/>
    <n v="189"/>
    <n v="201.93"/>
    <n v="2527.64"/>
    <x v="1"/>
    <x v="3"/>
    <x v="0"/>
    <x v="5"/>
  </r>
  <r>
    <s v="ORD1008"/>
    <x v="1"/>
    <x v="1"/>
    <x v="1"/>
    <x v="1"/>
    <x v="6"/>
    <d v="2023-07-31T00:00:00"/>
    <d v="2023-11-07T00:00:00"/>
    <n v="31"/>
    <n v="460.17"/>
    <n v="9029.01"/>
    <x v="2"/>
    <x v="3"/>
    <x v="0"/>
    <x v="6"/>
  </r>
  <r>
    <s v="ORD1009"/>
    <x v="1"/>
    <x v="1"/>
    <x v="1"/>
    <x v="0"/>
    <x v="7"/>
    <d v="2024-01-27T00:00:00"/>
    <d v="2023-12-08T00:00:00"/>
    <n v="114"/>
    <n v="496.66"/>
    <n v="1738.8"/>
    <x v="2"/>
    <x v="3"/>
    <x v="0"/>
    <x v="1"/>
  </r>
  <r>
    <s v="ORD1010"/>
    <x v="0"/>
    <x v="2"/>
    <x v="1"/>
    <x v="0"/>
    <x v="8"/>
    <d v="2024-05-14T00:00:00"/>
    <d v="2023-11-14T00:00:00"/>
    <n v="22"/>
    <n v="27.23"/>
    <n v="9211.36"/>
    <x v="0"/>
    <x v="3"/>
    <x v="1"/>
    <x v="7"/>
  </r>
  <r>
    <s v="ORD1011"/>
    <x v="1"/>
    <x v="1"/>
    <x v="1"/>
    <x v="2"/>
    <x v="9"/>
    <d v="2024-06-24T00:00:00"/>
    <d v="2023-03-20T00:00:00"/>
    <n v="93"/>
    <n v="381.7"/>
    <n v="9700.77"/>
    <x v="0"/>
    <x v="0"/>
    <x v="1"/>
    <x v="1"/>
  </r>
  <r>
    <s v="ORD1012"/>
    <x v="2"/>
    <x v="0"/>
    <x v="2"/>
    <x v="3"/>
    <x v="10"/>
    <d v="2024-07-17T00:00:00"/>
    <d v="2023-10-10T00:00:00"/>
    <n v="171"/>
    <n v="189"/>
    <n v="6465.22"/>
    <x v="0"/>
    <x v="0"/>
    <x v="1"/>
    <x v="4"/>
  </r>
  <r>
    <s v="ORD1014"/>
    <x v="3"/>
    <x v="0"/>
    <x v="0"/>
    <x v="0"/>
    <x v="11"/>
    <d v="2024-03-18T00:00:00"/>
    <d v="2024-10-27T00:00:00"/>
    <n v="54"/>
    <n v="378.36"/>
    <n v="8183.21"/>
    <x v="1"/>
    <x v="3"/>
    <x v="1"/>
    <x v="4"/>
  </r>
  <r>
    <s v="ORD1015"/>
    <x v="0"/>
    <x v="0"/>
    <x v="0"/>
    <x v="1"/>
    <x v="12"/>
    <d v="2023-09-19T00:00:00"/>
    <d v="2023-10-04T00:00:00"/>
    <n v="138"/>
    <n v="459.62"/>
    <n v="5403.33"/>
    <x v="0"/>
    <x v="1"/>
    <x v="1"/>
    <x v="8"/>
  </r>
  <r>
    <s v="ORD1016"/>
    <x v="2"/>
    <x v="1"/>
    <x v="2"/>
    <x v="2"/>
    <x v="13"/>
    <d v="2023-12-17T00:00:00"/>
    <d v="2024-09-15T00:00:00"/>
    <n v="42"/>
    <n v="475.71"/>
    <n v="4262.18"/>
    <x v="0"/>
    <x v="1"/>
    <x v="1"/>
    <x v="9"/>
  </r>
  <r>
    <s v="ORD1017"/>
    <x v="2"/>
    <x v="0"/>
    <x v="0"/>
    <x v="2"/>
    <x v="14"/>
    <d v="2023-12-19T00:00:00"/>
    <d v="2024-10-16T00:00:00"/>
    <n v="64"/>
    <n v="290.68"/>
    <n v="2471.8000000000002"/>
    <x v="0"/>
    <x v="1"/>
    <x v="1"/>
    <x v="10"/>
  </r>
  <r>
    <s v="ORD1018"/>
    <x v="3"/>
    <x v="0"/>
    <x v="2"/>
    <x v="2"/>
    <x v="15"/>
    <d v="2024-06-04T00:00:00"/>
    <d v="2023-10-20T00:00:00"/>
    <n v="126"/>
    <n v="181.77"/>
    <n v="1740.32"/>
    <x v="1"/>
    <x v="1"/>
    <x v="1"/>
    <x v="7"/>
  </r>
  <r>
    <s v="ORD1019"/>
    <x v="0"/>
    <x v="2"/>
    <x v="1"/>
    <x v="1"/>
    <x v="16"/>
    <d v="2023-11-17T00:00:00"/>
    <d v="2024-12-28T00:00:00"/>
    <n v="21"/>
    <n v="394.84"/>
    <n v="1054.73"/>
    <x v="0"/>
    <x v="3"/>
    <x v="0"/>
    <x v="7"/>
  </r>
  <r>
    <s v="ORD1020"/>
    <x v="0"/>
    <x v="2"/>
    <x v="1"/>
    <x v="3"/>
    <x v="17"/>
    <d v="2023-05-19T00:00:00"/>
    <d v="2023-10-03T00:00:00"/>
    <n v="194"/>
    <n v="129.25"/>
    <n v="5346.3"/>
    <x v="1"/>
    <x v="1"/>
    <x v="0"/>
    <x v="11"/>
  </r>
  <r>
    <s v="ORD1021"/>
    <x v="2"/>
    <x v="2"/>
    <x v="0"/>
    <x v="1"/>
    <x v="18"/>
    <d v="2024-07-04T00:00:00"/>
    <d v="2023-03-11T00:00:00"/>
    <n v="169"/>
    <n v="284.22000000000003"/>
    <n v="385.08"/>
    <x v="0"/>
    <x v="3"/>
    <x v="1"/>
    <x v="12"/>
  </r>
  <r>
    <s v="ORD1022"/>
    <x v="0"/>
    <x v="1"/>
    <x v="0"/>
    <x v="3"/>
    <x v="19"/>
    <d v="2024-09-15T00:00:00"/>
    <d v="2024-05-01T00:00:00"/>
    <n v="152"/>
    <n v="182.5"/>
    <n v="1562.88"/>
    <x v="1"/>
    <x v="0"/>
    <x v="1"/>
    <x v="2"/>
  </r>
  <r>
    <s v="ORD1023"/>
    <x v="3"/>
    <x v="2"/>
    <x v="0"/>
    <x v="1"/>
    <x v="20"/>
    <d v="2024-01-04T00:00:00"/>
    <d v="2023-09-09T00:00:00"/>
    <n v="35"/>
    <n v="330.03"/>
    <n v="5040.1000000000004"/>
    <x v="0"/>
    <x v="3"/>
    <x v="0"/>
    <x v="13"/>
  </r>
  <r>
    <s v="ORD1024"/>
    <x v="2"/>
    <x v="2"/>
    <x v="0"/>
    <x v="1"/>
    <x v="16"/>
    <d v="2023-08-09T00:00:00"/>
    <d v="2023-06-09T00:00:00"/>
    <n v="184"/>
    <n v="124"/>
    <n v="3459.32"/>
    <x v="0"/>
    <x v="0"/>
    <x v="1"/>
    <x v="14"/>
  </r>
  <r>
    <s v="ORD1025"/>
    <x v="2"/>
    <x v="0"/>
    <x v="0"/>
    <x v="1"/>
    <x v="21"/>
    <d v="2023-12-04T00:00:00"/>
    <d v="2023-02-20T00:00:00"/>
    <n v="30"/>
    <n v="99.84"/>
    <n v="118.44"/>
    <x v="0"/>
    <x v="0"/>
    <x v="1"/>
    <x v="14"/>
  </r>
  <r>
    <s v="ORD1026"/>
    <x v="0"/>
    <x v="0"/>
    <x v="2"/>
    <x v="2"/>
    <x v="22"/>
    <d v="2023-08-12T00:00:00"/>
    <d v="2024-04-02T00:00:00"/>
    <n v="57"/>
    <n v="459.53"/>
    <n v="9082.99"/>
    <x v="0"/>
    <x v="3"/>
    <x v="1"/>
    <x v="0"/>
  </r>
  <r>
    <s v="ORD1027"/>
    <x v="2"/>
    <x v="0"/>
    <x v="2"/>
    <x v="1"/>
    <x v="23"/>
    <d v="2024-10-10T00:00:00"/>
    <d v="2023-07-24T00:00:00"/>
    <n v="47"/>
    <n v="55.39"/>
    <n v="6291.92"/>
    <x v="0"/>
    <x v="2"/>
    <x v="0"/>
    <x v="15"/>
  </r>
  <r>
    <s v="ORD1028"/>
    <x v="2"/>
    <x v="2"/>
    <x v="1"/>
    <x v="1"/>
    <x v="24"/>
    <d v="2023-12-27T00:00:00"/>
    <d v="2024-10-25T00:00:00"/>
    <n v="163"/>
    <n v="255.45"/>
    <n v="7435.42"/>
    <x v="0"/>
    <x v="3"/>
    <x v="0"/>
    <x v="16"/>
  </r>
  <r>
    <s v="ORD1029"/>
    <x v="1"/>
    <x v="2"/>
    <x v="1"/>
    <x v="1"/>
    <x v="25"/>
    <d v="2023-11-26T00:00:00"/>
    <d v="2023-05-08T00:00:00"/>
    <n v="19"/>
    <n v="114.32"/>
    <n v="2998.76"/>
    <x v="0"/>
    <x v="3"/>
    <x v="0"/>
    <x v="3"/>
  </r>
  <r>
    <s v="ORD1030"/>
    <x v="1"/>
    <x v="2"/>
    <x v="1"/>
    <x v="0"/>
    <x v="26"/>
    <d v="2024-04-08T00:00:00"/>
    <d v="2023-01-05T00:00:00"/>
    <n v="114"/>
    <n v="24.27"/>
    <n v="2745.88"/>
    <x v="0"/>
    <x v="3"/>
    <x v="0"/>
    <x v="17"/>
  </r>
  <r>
    <s v="ORD1031"/>
    <x v="3"/>
    <x v="2"/>
    <x v="1"/>
    <x v="2"/>
    <x v="27"/>
    <d v="2024-07-15T00:00:00"/>
    <d v="2024-10-05T00:00:00"/>
    <n v="8"/>
    <n v="22.83"/>
    <n v="3432.72"/>
    <x v="0"/>
    <x v="2"/>
    <x v="0"/>
    <x v="6"/>
  </r>
  <r>
    <s v="ORD1032"/>
    <x v="0"/>
    <x v="2"/>
    <x v="2"/>
    <x v="0"/>
    <x v="28"/>
    <d v="2024-01-18T00:00:00"/>
    <d v="2023-07-14T00:00:00"/>
    <n v="26"/>
    <n v="91.73"/>
    <n v="1716.54"/>
    <x v="0"/>
    <x v="0"/>
    <x v="1"/>
    <x v="18"/>
  </r>
  <r>
    <s v="ORD1033"/>
    <x v="0"/>
    <x v="0"/>
    <x v="0"/>
    <x v="2"/>
    <x v="29"/>
    <d v="2024-08-13T00:00:00"/>
    <d v="2024-08-05T00:00:00"/>
    <n v="113"/>
    <n v="434.05"/>
    <n v="8797.9"/>
    <x v="1"/>
    <x v="3"/>
    <x v="1"/>
    <x v="3"/>
  </r>
  <r>
    <s v="ORD1034"/>
    <x v="2"/>
    <x v="0"/>
    <x v="0"/>
    <x v="0"/>
    <x v="30"/>
    <d v="2024-09-09T00:00:00"/>
    <d v="2024-06-03T00:00:00"/>
    <n v="71"/>
    <n v="144.83000000000001"/>
    <n v="6603.68"/>
    <x v="0"/>
    <x v="0"/>
    <x v="0"/>
    <x v="7"/>
  </r>
  <r>
    <s v="ORD1035"/>
    <x v="2"/>
    <x v="1"/>
    <x v="0"/>
    <x v="1"/>
    <x v="31"/>
    <d v="2023-06-19T00:00:00"/>
    <d v="2024-03-21T00:00:00"/>
    <n v="30"/>
    <n v="475.48"/>
    <n v="7781.64"/>
    <x v="0"/>
    <x v="2"/>
    <x v="1"/>
    <x v="12"/>
  </r>
  <r>
    <s v="ORD1036"/>
    <x v="2"/>
    <x v="2"/>
    <x v="0"/>
    <x v="1"/>
    <x v="32"/>
    <d v="2023-08-06T00:00:00"/>
    <d v="2023-05-27T00:00:00"/>
    <n v="135"/>
    <n v="292.89999999999998"/>
    <n v="6116.49"/>
    <x v="0"/>
    <x v="3"/>
    <x v="0"/>
    <x v="14"/>
  </r>
  <r>
    <s v="ORD1037"/>
    <x v="1"/>
    <x v="2"/>
    <x v="1"/>
    <x v="1"/>
    <x v="33"/>
    <d v="2024-01-14T00:00:00"/>
    <d v="2023-07-14T00:00:00"/>
    <n v="67"/>
    <n v="221.12"/>
    <n v="9901.58"/>
    <x v="0"/>
    <x v="2"/>
    <x v="0"/>
    <x v="4"/>
  </r>
  <r>
    <s v="ORD1038"/>
    <x v="0"/>
    <x v="2"/>
    <x v="0"/>
    <x v="1"/>
    <x v="34"/>
    <d v="2023-04-30T00:00:00"/>
    <d v="2024-06-20T00:00:00"/>
    <n v="65"/>
    <n v="292.14"/>
    <n v="6633.59"/>
    <x v="0"/>
    <x v="0"/>
    <x v="2"/>
    <x v="15"/>
  </r>
  <r>
    <s v="ORD1039"/>
    <x v="0"/>
    <x v="2"/>
    <x v="0"/>
    <x v="0"/>
    <x v="35"/>
    <d v="2023-07-10T00:00:00"/>
    <d v="2023-08-19T00:00:00"/>
    <n v="36"/>
    <n v="260.77"/>
    <n v="3746.1"/>
    <x v="1"/>
    <x v="3"/>
    <x v="2"/>
    <x v="9"/>
  </r>
  <r>
    <s v="ORD1040"/>
    <x v="2"/>
    <x v="2"/>
    <x v="0"/>
    <x v="3"/>
    <x v="36"/>
    <d v="2024-01-06T00:00:00"/>
    <d v="2023-11-13T00:00:00"/>
    <n v="25"/>
    <n v="380.59"/>
    <n v="8896.82"/>
    <x v="1"/>
    <x v="1"/>
    <x v="0"/>
    <x v="19"/>
  </r>
  <r>
    <s v="ORD1041"/>
    <x v="1"/>
    <x v="1"/>
    <x v="0"/>
    <x v="1"/>
    <x v="37"/>
    <d v="2023-05-30T00:00:00"/>
    <d v="2024-09-24T00:00:00"/>
    <n v="37"/>
    <n v="144.84"/>
    <n v="1231.1600000000001"/>
    <x v="1"/>
    <x v="1"/>
    <x v="2"/>
    <x v="20"/>
  </r>
  <r>
    <s v="ORD1042"/>
    <x v="1"/>
    <x v="1"/>
    <x v="0"/>
    <x v="0"/>
    <x v="38"/>
    <d v="2024-11-07T00:00:00"/>
    <d v="2023-11-02T00:00:00"/>
    <n v="1"/>
    <n v="179.76"/>
    <n v="6558.62"/>
    <x v="1"/>
    <x v="1"/>
    <x v="2"/>
    <x v="20"/>
  </r>
  <r>
    <s v="ORD1043"/>
    <x v="1"/>
    <x v="2"/>
    <x v="0"/>
    <x v="0"/>
    <x v="39"/>
    <d v="2024-10-14T00:00:00"/>
    <d v="2024-10-19T00:00:00"/>
    <n v="143"/>
    <n v="447.58"/>
    <n v="835.45"/>
    <x v="1"/>
    <x v="2"/>
    <x v="1"/>
    <x v="13"/>
  </r>
  <r>
    <s v="ORD1044"/>
    <x v="1"/>
    <x v="1"/>
    <x v="1"/>
    <x v="1"/>
    <x v="40"/>
    <d v="2024-05-03T00:00:00"/>
    <d v="2024-04-08T00:00:00"/>
    <n v="37"/>
    <n v="473.5"/>
    <n v="152.33000000000001"/>
    <x v="1"/>
    <x v="3"/>
    <x v="0"/>
    <x v="10"/>
  </r>
  <r>
    <s v="ORD1045"/>
    <x v="2"/>
    <x v="2"/>
    <x v="0"/>
    <x v="1"/>
    <x v="41"/>
    <d v="2024-01-10T00:00:00"/>
    <d v="2024-02-09T00:00:00"/>
    <n v="141"/>
    <n v="446.82"/>
    <n v="2226.2199999999998"/>
    <x v="1"/>
    <x v="1"/>
    <x v="1"/>
    <x v="3"/>
  </r>
  <r>
    <s v="ORD1046"/>
    <x v="3"/>
    <x v="0"/>
    <x v="0"/>
    <x v="0"/>
    <x v="42"/>
    <d v="2024-11-24T00:00:00"/>
    <d v="2024-07-08T00:00:00"/>
    <n v="136"/>
    <n v="212.63"/>
    <n v="6801.07"/>
    <x v="0"/>
    <x v="3"/>
    <x v="0"/>
    <x v="5"/>
  </r>
  <r>
    <s v="ORD1047"/>
    <x v="0"/>
    <x v="1"/>
    <x v="2"/>
    <x v="1"/>
    <x v="43"/>
    <d v="2023-06-10T00:00:00"/>
    <d v="2024-02-01T00:00:00"/>
    <n v="133"/>
    <n v="391.28"/>
    <n v="9289.8700000000008"/>
    <x v="0"/>
    <x v="3"/>
    <x v="1"/>
    <x v="9"/>
  </r>
  <r>
    <s v="ORD1048"/>
    <x v="2"/>
    <x v="1"/>
    <x v="2"/>
    <x v="1"/>
    <x v="44"/>
    <d v="2023-12-18T00:00:00"/>
    <d v="2023-07-30T00:00:00"/>
    <n v="188"/>
    <n v="240.79"/>
    <n v="7178.15"/>
    <x v="0"/>
    <x v="3"/>
    <x v="1"/>
    <x v="21"/>
  </r>
  <r>
    <s v="ORD1049"/>
    <x v="0"/>
    <x v="1"/>
    <x v="2"/>
    <x v="1"/>
    <x v="45"/>
    <d v="2023-10-16T00:00:00"/>
    <d v="2023-08-02T00:00:00"/>
    <n v="128"/>
    <n v="251.28"/>
    <n v="6685.13"/>
    <x v="0"/>
    <x v="1"/>
    <x v="0"/>
    <x v="1"/>
  </r>
  <r>
    <s v="ORD1051"/>
    <x v="3"/>
    <x v="1"/>
    <x v="2"/>
    <x v="3"/>
    <x v="46"/>
    <d v="2023-08-15T00:00:00"/>
    <d v="2025-01-10T00:00:00"/>
    <n v="127"/>
    <n v="297.61"/>
    <n v="7263.81"/>
    <x v="0"/>
    <x v="0"/>
    <x v="1"/>
    <x v="1"/>
  </r>
  <r>
    <s v="ORD1052"/>
    <x v="3"/>
    <x v="1"/>
    <x v="0"/>
    <x v="0"/>
    <x v="47"/>
    <d v="2024-06-07T00:00:00"/>
    <d v="2024-10-11T00:00:00"/>
    <n v="1"/>
    <n v="97.14"/>
    <n v="8215.93"/>
    <x v="0"/>
    <x v="3"/>
    <x v="2"/>
    <x v="22"/>
  </r>
  <r>
    <s v="ORD1053"/>
    <x v="2"/>
    <x v="2"/>
    <x v="0"/>
    <x v="0"/>
    <x v="48"/>
    <d v="2024-06-06T00:00:00"/>
    <d v="2023-09-12T00:00:00"/>
    <n v="164"/>
    <n v="169.12"/>
    <n v="2163.85"/>
    <x v="0"/>
    <x v="0"/>
    <x v="2"/>
    <x v="18"/>
  </r>
  <r>
    <s v="ORD1054"/>
    <x v="3"/>
    <x v="0"/>
    <x v="0"/>
    <x v="3"/>
    <x v="49"/>
    <d v="2023-10-01T00:00:00"/>
    <d v="2023-08-11T00:00:00"/>
    <n v="35"/>
    <n v="428.24"/>
    <n v="397.37"/>
    <x v="0"/>
    <x v="0"/>
    <x v="1"/>
    <x v="6"/>
  </r>
  <r>
    <s v="ORD1055"/>
    <x v="3"/>
    <x v="0"/>
    <x v="0"/>
    <x v="1"/>
    <x v="50"/>
    <d v="2024-02-07T00:00:00"/>
    <d v="2024-02-15T00:00:00"/>
    <n v="194"/>
    <n v="107.5"/>
    <n v="2163.85"/>
    <x v="0"/>
    <x v="2"/>
    <x v="0"/>
    <x v="23"/>
  </r>
  <r>
    <s v="ORD1056"/>
    <x v="3"/>
    <x v="1"/>
    <x v="0"/>
    <x v="0"/>
    <x v="51"/>
    <d v="2023-07-03T00:00:00"/>
    <d v="2024-03-22T00:00:00"/>
    <n v="191"/>
    <n v="40.22"/>
    <n v="5972.37"/>
    <x v="0"/>
    <x v="3"/>
    <x v="1"/>
    <x v="11"/>
  </r>
  <r>
    <s v="ORD1057"/>
    <x v="0"/>
    <x v="1"/>
    <x v="0"/>
    <x v="1"/>
    <x v="52"/>
    <d v="2024-10-27T00:00:00"/>
    <d v="2024-08-29T00:00:00"/>
    <n v="104"/>
    <n v="39.159999999999997"/>
    <n v="1547.2"/>
    <x v="1"/>
    <x v="0"/>
    <x v="2"/>
    <x v="11"/>
  </r>
  <r>
    <s v="ORD1058"/>
    <x v="0"/>
    <x v="1"/>
    <x v="0"/>
    <x v="2"/>
    <x v="53"/>
    <d v="2024-05-03T00:00:00"/>
    <d v="2023-12-24T00:00:00"/>
    <n v="23"/>
    <n v="470.69"/>
    <n v="5655.78"/>
    <x v="2"/>
    <x v="2"/>
    <x v="0"/>
    <x v="13"/>
  </r>
  <r>
    <s v="ORD1059"/>
    <x v="0"/>
    <x v="1"/>
    <x v="0"/>
    <x v="1"/>
    <x v="27"/>
    <d v="2023-05-05T00:00:00"/>
    <d v="2024-07-15T00:00:00"/>
    <n v="9"/>
    <n v="255.93"/>
    <n v="4262.18"/>
    <x v="2"/>
    <x v="3"/>
    <x v="0"/>
    <x v="24"/>
  </r>
  <r>
    <s v="ORD1060"/>
    <x v="0"/>
    <x v="2"/>
    <x v="0"/>
    <x v="0"/>
    <x v="54"/>
    <d v="2024-09-18T00:00:00"/>
    <d v="2024-07-07T00:00:00"/>
    <n v="34"/>
    <n v="207.66"/>
    <n v="7582.63"/>
    <x v="2"/>
    <x v="3"/>
    <x v="0"/>
    <x v="10"/>
  </r>
  <r>
    <s v="ORD1061"/>
    <x v="0"/>
    <x v="2"/>
    <x v="0"/>
    <x v="2"/>
    <x v="55"/>
    <d v="2024-02-19T00:00:00"/>
    <d v="2023-05-26T00:00:00"/>
    <n v="174"/>
    <n v="406.38"/>
    <n v="5951.92"/>
    <x v="2"/>
    <x v="0"/>
    <x v="0"/>
    <x v="25"/>
  </r>
  <r>
    <s v="ORD1062"/>
    <x v="1"/>
    <x v="2"/>
    <x v="0"/>
    <x v="2"/>
    <x v="56"/>
    <d v="2024-12-26T00:00:00"/>
    <d v="2024-09-07T00:00:00"/>
    <n v="128"/>
    <n v="418.73"/>
    <n v="4328.08"/>
    <x v="0"/>
    <x v="2"/>
    <x v="0"/>
    <x v="8"/>
  </r>
  <r>
    <s v="ORD1063"/>
    <x v="2"/>
    <x v="0"/>
    <x v="2"/>
    <x v="0"/>
    <x v="57"/>
    <d v="2023-06-22T00:00:00"/>
    <d v="2024-05-19T00:00:00"/>
    <n v="4"/>
    <n v="169.43"/>
    <n v="2226.2199999999998"/>
    <x v="0"/>
    <x v="3"/>
    <x v="2"/>
    <x v="18"/>
  </r>
  <r>
    <s v="ORD1064"/>
    <x v="2"/>
    <x v="0"/>
    <x v="1"/>
    <x v="1"/>
    <x v="58"/>
    <d v="2023-10-16T00:00:00"/>
    <d v="2024-12-06T00:00:00"/>
    <n v="158"/>
    <n v="348.34"/>
    <n v="9294.99"/>
    <x v="2"/>
    <x v="0"/>
    <x v="2"/>
    <x v="1"/>
  </r>
  <r>
    <s v="ORD1065"/>
    <x v="0"/>
    <x v="0"/>
    <x v="1"/>
    <x v="1"/>
    <x v="59"/>
    <d v="2024-03-11T00:00:00"/>
    <d v="2024-07-04T00:00:00"/>
    <n v="102"/>
    <n v="386.71"/>
    <n v="2504.25"/>
    <x v="2"/>
    <x v="1"/>
    <x v="0"/>
    <x v="16"/>
  </r>
  <r>
    <s v="ORD1066"/>
    <x v="3"/>
    <x v="0"/>
    <x v="1"/>
    <x v="2"/>
    <x v="32"/>
    <d v="2024-11-17T00:00:00"/>
    <d v="2024-10-24T00:00:00"/>
    <n v="75"/>
    <n v="329.05"/>
    <n v="4689.68"/>
    <x v="0"/>
    <x v="0"/>
    <x v="1"/>
    <x v="26"/>
  </r>
  <r>
    <s v="ORD1067"/>
    <x v="0"/>
    <x v="0"/>
    <x v="0"/>
    <x v="3"/>
    <x v="60"/>
    <d v="2023-04-24T00:00:00"/>
    <d v="2024-06-29T00:00:00"/>
    <n v="99"/>
    <n v="80.040000000000006"/>
    <n v="2810.77"/>
    <x v="0"/>
    <x v="0"/>
    <x v="2"/>
    <x v="13"/>
  </r>
  <r>
    <s v="ORD1068"/>
    <x v="3"/>
    <x v="1"/>
    <x v="0"/>
    <x v="2"/>
    <x v="61"/>
    <d v="2023-05-03T00:00:00"/>
    <d v="2024-05-25T00:00:00"/>
    <n v="72"/>
    <n v="438.56"/>
    <n v="7802.07"/>
    <x v="0"/>
    <x v="3"/>
    <x v="0"/>
    <x v="10"/>
  </r>
  <r>
    <s v="ORD1069"/>
    <x v="2"/>
    <x v="1"/>
    <x v="2"/>
    <x v="2"/>
    <x v="62"/>
    <d v="2024-06-28T00:00:00"/>
    <d v="2024-08-22T00:00:00"/>
    <n v="3"/>
    <n v="271.85000000000002"/>
    <n v="1748.55"/>
    <x v="0"/>
    <x v="3"/>
    <x v="0"/>
    <x v="12"/>
  </r>
  <r>
    <s v="ORD1070"/>
    <x v="2"/>
    <x v="0"/>
    <x v="1"/>
    <x v="1"/>
    <x v="63"/>
    <d v="2023-08-11T00:00:00"/>
    <d v="2023-10-12T00:00:00"/>
    <n v="142"/>
    <n v="144.82"/>
    <n v="240.6"/>
    <x v="0"/>
    <x v="3"/>
    <x v="0"/>
    <x v="0"/>
  </r>
  <r>
    <s v="ORD1072"/>
    <x v="3"/>
    <x v="0"/>
    <x v="1"/>
    <x v="3"/>
    <x v="64"/>
    <d v="2023-02-09T00:00:00"/>
    <d v="2023-10-01T00:00:00"/>
    <n v="173"/>
    <n v="23.6"/>
    <n v="8984.2999999999993"/>
    <x v="0"/>
    <x v="0"/>
    <x v="0"/>
    <x v="3"/>
  </r>
  <r>
    <s v="ORD1073"/>
    <x v="0"/>
    <x v="2"/>
    <x v="0"/>
    <x v="2"/>
    <x v="10"/>
    <d v="2024-05-12T00:00:00"/>
    <d v="2023-06-07T00:00:00"/>
    <n v="34"/>
    <n v="68.290000000000006"/>
    <n v="1298.5899999999999"/>
    <x v="0"/>
    <x v="3"/>
    <x v="0"/>
    <x v="3"/>
  </r>
  <r>
    <s v="ORD1074"/>
    <x v="2"/>
    <x v="2"/>
    <x v="1"/>
    <x v="1"/>
    <x v="65"/>
    <d v="2023-08-22T00:00:00"/>
    <d v="2024-09-09T00:00:00"/>
    <n v="45"/>
    <n v="383.95"/>
    <n v="3705.54"/>
    <x v="1"/>
    <x v="3"/>
    <x v="0"/>
    <x v="17"/>
  </r>
  <r>
    <s v="ORD1075"/>
    <x v="2"/>
    <x v="1"/>
    <x v="2"/>
    <x v="1"/>
    <x v="66"/>
    <d v="2024-06-14T00:00:00"/>
    <d v="2024-12-31T00:00:00"/>
    <n v="61"/>
    <n v="5.01"/>
    <n v="891.43"/>
    <x v="2"/>
    <x v="0"/>
    <x v="0"/>
    <x v="27"/>
  </r>
  <r>
    <s v="ORD1076"/>
    <x v="3"/>
    <x v="0"/>
    <x v="2"/>
    <x v="0"/>
    <x v="67"/>
    <d v="2023-05-30T00:00:00"/>
    <d v="2024-10-27T00:00:00"/>
    <n v="83"/>
    <n v="211.2"/>
    <n v="6694.22"/>
    <x v="2"/>
    <x v="0"/>
    <x v="1"/>
    <x v="20"/>
  </r>
  <r>
    <s v="ORD1077"/>
    <x v="3"/>
    <x v="0"/>
    <x v="1"/>
    <x v="1"/>
    <x v="68"/>
    <d v="2024-02-02T00:00:00"/>
    <d v="2023-03-28T00:00:00"/>
    <n v="123"/>
    <n v="263.64"/>
    <n v="4025.21"/>
    <x v="2"/>
    <x v="3"/>
    <x v="1"/>
    <x v="1"/>
  </r>
  <r>
    <s v="ORD1078"/>
    <x v="0"/>
    <x v="0"/>
    <x v="0"/>
    <x v="1"/>
    <x v="69"/>
    <d v="2024-10-23T00:00:00"/>
    <d v="2024-09-17T00:00:00"/>
    <n v="102"/>
    <n v="32.04"/>
    <n v="2419.56"/>
    <x v="0"/>
    <x v="1"/>
    <x v="0"/>
    <x v="27"/>
  </r>
  <r>
    <s v="ORD1079"/>
    <x v="3"/>
    <x v="0"/>
    <x v="2"/>
    <x v="1"/>
    <x v="70"/>
    <d v="2024-09-30T00:00:00"/>
    <d v="2024-03-05T00:00:00"/>
    <n v="16"/>
    <n v="486.67"/>
    <n v="9419.84"/>
    <x v="2"/>
    <x v="0"/>
    <x v="0"/>
    <x v="28"/>
  </r>
  <r>
    <s v="ORD1080"/>
    <x v="3"/>
    <x v="0"/>
    <x v="2"/>
    <x v="2"/>
    <x v="71"/>
    <d v="2023-10-30T00:00:00"/>
    <d v="2023-10-06T00:00:00"/>
    <n v="66"/>
    <n v="116.93"/>
    <n v="3756.46"/>
    <x v="2"/>
    <x v="1"/>
    <x v="0"/>
    <x v="2"/>
  </r>
  <r>
    <s v="ORD1081"/>
    <x v="2"/>
    <x v="0"/>
    <x v="2"/>
    <x v="3"/>
    <x v="72"/>
    <d v="2023-12-27T00:00:00"/>
    <d v="2024-12-17T00:00:00"/>
    <n v="168"/>
    <n v="155.58000000000001"/>
    <n v="4141.42"/>
    <x v="0"/>
    <x v="1"/>
    <x v="0"/>
    <x v="27"/>
  </r>
  <r>
    <s v="ORD1082"/>
    <x v="0"/>
    <x v="2"/>
    <x v="0"/>
    <x v="1"/>
    <x v="73"/>
    <d v="2023-08-27T00:00:00"/>
    <d v="2023-10-15T00:00:00"/>
    <n v="145"/>
    <n v="155.44999999999999"/>
    <n v="3483.58"/>
    <x v="2"/>
    <x v="1"/>
    <x v="2"/>
    <x v="10"/>
  </r>
  <r>
    <s v="ORD1083"/>
    <x v="2"/>
    <x v="0"/>
    <x v="0"/>
    <x v="0"/>
    <x v="74"/>
    <d v="2024-10-09T00:00:00"/>
    <d v="2023-06-26T00:00:00"/>
    <n v="119"/>
    <n v="119.06"/>
    <n v="9806.65"/>
    <x v="2"/>
    <x v="3"/>
    <x v="1"/>
    <x v="10"/>
  </r>
  <r>
    <s v="ORD1084"/>
    <x v="2"/>
    <x v="0"/>
    <x v="0"/>
    <x v="0"/>
    <x v="75"/>
    <d v="2024-10-25T00:00:00"/>
    <d v="2023-11-27T00:00:00"/>
    <n v="162"/>
    <n v="5.73"/>
    <n v="7263.81"/>
    <x v="0"/>
    <x v="1"/>
    <x v="1"/>
    <x v="17"/>
  </r>
  <r>
    <s v="ORD1085"/>
    <x v="0"/>
    <x v="0"/>
    <x v="1"/>
    <x v="0"/>
    <x v="76"/>
    <d v="2023-08-25T00:00:00"/>
    <d v="2024-12-22T00:00:00"/>
    <n v="124"/>
    <n v="366.03"/>
    <n v="7706.02"/>
    <x v="0"/>
    <x v="3"/>
    <x v="0"/>
    <x v="13"/>
  </r>
  <r>
    <s v="ORD1086"/>
    <x v="2"/>
    <x v="0"/>
    <x v="0"/>
    <x v="0"/>
    <x v="77"/>
    <d v="2025-01-06T00:00:00"/>
    <d v="2023-03-08T00:00:00"/>
    <n v="144"/>
    <n v="483.59"/>
    <n v="2221.16"/>
    <x v="2"/>
    <x v="3"/>
    <x v="1"/>
    <x v="17"/>
  </r>
  <r>
    <s v="ORD1087"/>
    <x v="2"/>
    <x v="0"/>
    <x v="0"/>
    <x v="2"/>
    <x v="78"/>
    <d v="2023-07-23T00:00:00"/>
    <d v="2023-03-18T00:00:00"/>
    <n v="102"/>
    <n v="116.03"/>
    <n v="8178.89"/>
    <x v="2"/>
    <x v="3"/>
    <x v="0"/>
    <x v="23"/>
  </r>
  <r>
    <s v="ORD1088"/>
    <x v="2"/>
    <x v="0"/>
    <x v="0"/>
    <x v="1"/>
    <x v="79"/>
    <d v="2023-09-14T00:00:00"/>
    <d v="2024-10-01T00:00:00"/>
    <n v="188"/>
    <n v="333.21"/>
    <n v="2363.4299999999998"/>
    <x v="2"/>
    <x v="0"/>
    <x v="0"/>
    <x v="11"/>
  </r>
  <r>
    <s v="ORD1089"/>
    <x v="2"/>
    <x v="2"/>
    <x v="0"/>
    <x v="2"/>
    <x v="80"/>
    <d v="2024-08-21T00:00:00"/>
    <d v="2024-01-14T00:00:00"/>
    <n v="66"/>
    <n v="372.24"/>
    <n v="873.23"/>
    <x v="0"/>
    <x v="1"/>
    <x v="0"/>
    <x v="11"/>
  </r>
  <r>
    <s v="ORD1090"/>
    <x v="3"/>
    <x v="2"/>
    <x v="0"/>
    <x v="3"/>
    <x v="81"/>
    <d v="2024-10-24T00:00:00"/>
    <d v="2024-09-28T00:00:00"/>
    <n v="194"/>
    <n v="424.97"/>
    <n v="664.99"/>
    <x v="2"/>
    <x v="3"/>
    <x v="2"/>
    <x v="19"/>
  </r>
  <r>
    <s v="ORD1092"/>
    <x v="3"/>
    <x v="0"/>
    <x v="2"/>
    <x v="3"/>
    <x v="82"/>
    <d v="2023-12-12T00:00:00"/>
    <d v="2024-02-06T00:00:00"/>
    <n v="184"/>
    <n v="154.94999999999999"/>
    <n v="9901.58"/>
    <x v="0"/>
    <x v="3"/>
    <x v="0"/>
    <x v="29"/>
  </r>
  <r>
    <s v="ORD1093"/>
    <x v="2"/>
    <x v="0"/>
    <x v="0"/>
    <x v="1"/>
    <x v="83"/>
    <d v="2024-06-18T00:00:00"/>
    <d v="2023-05-04T00:00:00"/>
    <n v="111"/>
    <n v="166.02"/>
    <n v="1946.57"/>
    <x v="0"/>
    <x v="1"/>
    <x v="1"/>
    <x v="1"/>
  </r>
  <r>
    <s v="ORD1094"/>
    <x v="0"/>
    <x v="0"/>
    <x v="0"/>
    <x v="1"/>
    <x v="84"/>
    <d v="2024-04-11T00:00:00"/>
    <d v="2024-03-16T00:00:00"/>
    <n v="159"/>
    <n v="357.75"/>
    <n v="7259.75"/>
    <x v="0"/>
    <x v="1"/>
    <x v="1"/>
    <x v="18"/>
  </r>
  <r>
    <s v="ORD1095"/>
    <x v="0"/>
    <x v="0"/>
    <x v="2"/>
    <x v="1"/>
    <x v="85"/>
    <d v="2024-06-25T00:00:00"/>
    <d v="2024-11-10T00:00:00"/>
    <n v="34"/>
    <n v="409.31"/>
    <n v="5734.04"/>
    <x v="1"/>
    <x v="1"/>
    <x v="2"/>
    <x v="23"/>
  </r>
  <r>
    <s v="ORD1096"/>
    <x v="0"/>
    <x v="2"/>
    <x v="0"/>
    <x v="3"/>
    <x v="86"/>
    <d v="2023-08-02T00:00:00"/>
    <d v="2024-04-13T00:00:00"/>
    <n v="39"/>
    <n v="94.9"/>
    <n v="8024.39"/>
    <x v="0"/>
    <x v="1"/>
    <x v="1"/>
    <x v="22"/>
  </r>
  <r>
    <s v="ORD1097"/>
    <x v="0"/>
    <x v="2"/>
    <x v="1"/>
    <x v="3"/>
    <x v="28"/>
    <d v="2024-04-08T00:00:00"/>
    <d v="2023-10-17T00:00:00"/>
    <n v="195"/>
    <n v="188.62"/>
    <n v="4215.1400000000003"/>
    <x v="0"/>
    <x v="0"/>
    <x v="0"/>
    <x v="23"/>
  </r>
  <r>
    <s v="ORD1098"/>
    <x v="2"/>
    <x v="0"/>
    <x v="1"/>
    <x v="3"/>
    <x v="87"/>
    <d v="2024-03-12T00:00:00"/>
    <d v="2023-09-26T00:00:00"/>
    <n v="136"/>
    <n v="451.46"/>
    <n v="2332.19"/>
    <x v="0"/>
    <x v="0"/>
    <x v="0"/>
    <x v="13"/>
  </r>
  <r>
    <s v="ORD1099"/>
    <x v="2"/>
    <x v="0"/>
    <x v="0"/>
    <x v="2"/>
    <x v="88"/>
    <d v="2023-10-11T00:00:00"/>
    <d v="2023-11-20T00:00:00"/>
    <n v="120"/>
    <n v="404.31"/>
    <n v="7987.44"/>
    <x v="2"/>
    <x v="0"/>
    <x v="0"/>
    <x v="0"/>
  </r>
  <r>
    <s v="ORD1100"/>
    <x v="2"/>
    <x v="0"/>
    <x v="1"/>
    <x v="3"/>
    <x v="89"/>
    <d v="2024-07-16T00:00:00"/>
    <d v="2024-11-07T00:00:00"/>
    <n v="126"/>
    <n v="492.5"/>
    <n v="3315.92"/>
    <x v="0"/>
    <x v="0"/>
    <x v="1"/>
    <x v="1"/>
  </r>
  <r>
    <s v="ORD1101"/>
    <x v="2"/>
    <x v="2"/>
    <x v="0"/>
    <x v="0"/>
    <x v="53"/>
    <d v="2024-08-30T00:00:00"/>
    <d v="2024-01-15T00:00:00"/>
    <n v="55"/>
    <n v="378.35"/>
    <n v="8409.08"/>
    <x v="0"/>
    <x v="1"/>
    <x v="0"/>
    <x v="17"/>
  </r>
  <r>
    <s v="ORD1102"/>
    <x v="2"/>
    <x v="1"/>
    <x v="0"/>
    <x v="1"/>
    <x v="2"/>
    <d v="2024-04-08T00:00:00"/>
    <d v="2023-04-03T00:00:00"/>
    <n v="27"/>
    <n v="199.63"/>
    <n v="6377.61"/>
    <x v="0"/>
    <x v="0"/>
    <x v="0"/>
    <x v="4"/>
  </r>
  <r>
    <s v="ORD1103"/>
    <x v="2"/>
    <x v="1"/>
    <x v="0"/>
    <x v="3"/>
    <x v="90"/>
    <d v="2024-02-12T00:00:00"/>
    <d v="2024-10-19T00:00:00"/>
    <n v="118"/>
    <n v="297.37"/>
    <n v="8265.82"/>
    <x v="0"/>
    <x v="0"/>
    <x v="1"/>
    <x v="23"/>
  </r>
  <r>
    <s v="ORD1104"/>
    <x v="2"/>
    <x v="1"/>
    <x v="2"/>
    <x v="3"/>
    <x v="91"/>
    <d v="2023-03-30T00:00:00"/>
    <d v="2023-07-26T00:00:00"/>
    <n v="53"/>
    <n v="332.2"/>
    <n v="5548.99"/>
    <x v="2"/>
    <x v="0"/>
    <x v="1"/>
    <x v="28"/>
  </r>
  <r>
    <s v="ORD1105"/>
    <x v="0"/>
    <x v="2"/>
    <x v="0"/>
    <x v="1"/>
    <x v="92"/>
    <d v="2023-02-14T00:00:00"/>
    <d v="2025-01-12T00:00:00"/>
    <n v="39"/>
    <n v="43.84"/>
    <n v="8866.6299999999992"/>
    <x v="2"/>
    <x v="0"/>
    <x v="0"/>
    <x v="4"/>
  </r>
  <r>
    <s v="ORD1106"/>
    <x v="1"/>
    <x v="2"/>
    <x v="0"/>
    <x v="2"/>
    <x v="93"/>
    <d v="2024-04-06T00:00:00"/>
    <d v="2023-12-04T00:00:00"/>
    <n v="65"/>
    <n v="274.52999999999997"/>
    <n v="5948.76"/>
    <x v="1"/>
    <x v="3"/>
    <x v="1"/>
    <x v="12"/>
  </r>
  <r>
    <s v="ORD1107"/>
    <x v="1"/>
    <x v="0"/>
    <x v="0"/>
    <x v="2"/>
    <x v="94"/>
    <d v="2023-10-06T00:00:00"/>
    <d v="2023-08-14T00:00:00"/>
    <n v="145"/>
    <n v="356.11"/>
    <n v="7604.96"/>
    <x v="1"/>
    <x v="3"/>
    <x v="0"/>
    <x v="29"/>
  </r>
  <r>
    <s v="ORD1108"/>
    <x v="2"/>
    <x v="0"/>
    <x v="1"/>
    <x v="1"/>
    <x v="95"/>
    <d v="2024-11-14T00:00:00"/>
    <d v="2023-02-14T00:00:00"/>
    <n v="158"/>
    <n v="87.82"/>
    <n v="6159"/>
    <x v="2"/>
    <x v="0"/>
    <x v="0"/>
    <x v="0"/>
  </r>
  <r>
    <s v="ORD1109"/>
    <x v="1"/>
    <x v="2"/>
    <x v="1"/>
    <x v="1"/>
    <x v="21"/>
    <d v="2024-02-26T00:00:00"/>
    <d v="2024-12-12T00:00:00"/>
    <n v="181"/>
    <n v="391.41"/>
    <n v="5973.27"/>
    <x v="0"/>
    <x v="0"/>
    <x v="0"/>
    <x v="0"/>
  </r>
  <r>
    <s v="ORD1110"/>
    <x v="1"/>
    <x v="2"/>
    <x v="0"/>
    <x v="2"/>
    <x v="29"/>
    <d v="2024-12-02T00:00:00"/>
    <d v="2023-03-13T00:00:00"/>
    <n v="13"/>
    <n v="293.97000000000003"/>
    <n v="8218.76"/>
    <x v="2"/>
    <x v="3"/>
    <x v="1"/>
    <x v="18"/>
  </r>
  <r>
    <s v="ORD1111"/>
    <x v="2"/>
    <x v="2"/>
    <x v="0"/>
    <x v="0"/>
    <x v="96"/>
    <d v="2023-12-20T00:00:00"/>
    <d v="2024-06-01T00:00:00"/>
    <n v="21"/>
    <n v="476.35"/>
    <n v="9516.8799999999992"/>
    <x v="0"/>
    <x v="0"/>
    <x v="1"/>
    <x v="5"/>
  </r>
  <r>
    <s v="ORD1112"/>
    <x v="1"/>
    <x v="2"/>
    <x v="0"/>
    <x v="2"/>
    <x v="4"/>
    <d v="2024-11-27T00:00:00"/>
    <d v="2024-10-02T00:00:00"/>
    <n v="147"/>
    <n v="26"/>
    <n v="8456.4699999999993"/>
    <x v="0"/>
    <x v="0"/>
    <x v="0"/>
    <x v="24"/>
  </r>
  <r>
    <s v="ORD1114"/>
    <x v="3"/>
    <x v="0"/>
    <x v="0"/>
    <x v="2"/>
    <x v="97"/>
    <d v="2024-12-04T00:00:00"/>
    <d v="2024-08-24T00:00:00"/>
    <n v="19"/>
    <n v="302.77"/>
    <n v="6695.29"/>
    <x v="0"/>
    <x v="0"/>
    <x v="0"/>
    <x v="20"/>
  </r>
  <r>
    <s v="ORD1115"/>
    <x v="3"/>
    <x v="0"/>
    <x v="0"/>
    <x v="1"/>
    <x v="98"/>
    <d v="2024-09-22T00:00:00"/>
    <d v="2024-09-27T00:00:00"/>
    <n v="57"/>
    <n v="151.80000000000001"/>
    <n v="5890.02"/>
    <x v="0"/>
    <x v="0"/>
    <x v="0"/>
    <x v="20"/>
  </r>
  <r>
    <s v="ORD1116"/>
    <x v="2"/>
    <x v="1"/>
    <x v="0"/>
    <x v="3"/>
    <x v="99"/>
    <d v="2023-01-20T00:00:00"/>
    <d v="2023-05-11T00:00:00"/>
    <n v="25"/>
    <n v="358.64"/>
    <n v="3624.13"/>
    <x v="0"/>
    <x v="1"/>
    <x v="1"/>
    <x v="21"/>
  </r>
  <r>
    <s v="ORD1117"/>
    <x v="0"/>
    <x v="1"/>
    <x v="2"/>
    <x v="3"/>
    <x v="100"/>
    <d v="2023-01-24T00:00:00"/>
    <d v="2023-09-16T00:00:00"/>
    <n v="31"/>
    <n v="380.71"/>
    <n v="6764.12"/>
    <x v="0"/>
    <x v="1"/>
    <x v="0"/>
    <x v="11"/>
  </r>
  <r>
    <s v="ORD1119"/>
    <x v="0"/>
    <x v="1"/>
    <x v="1"/>
    <x v="0"/>
    <x v="101"/>
    <d v="2023-01-31T00:00:00"/>
    <d v="2023-01-20T00:00:00"/>
    <n v="183"/>
    <n v="259.36"/>
    <n v="2186.2199999999998"/>
    <x v="2"/>
    <x v="1"/>
    <x v="2"/>
    <x v="4"/>
  </r>
  <r>
    <s v="ORD1120"/>
    <x v="3"/>
    <x v="2"/>
    <x v="0"/>
    <x v="3"/>
    <x v="22"/>
    <d v="2023-04-19T00:00:00"/>
    <d v="2024-04-25T00:00:00"/>
    <n v="23"/>
    <n v="256.89999999999998"/>
    <n v="575.01"/>
    <x v="2"/>
    <x v="0"/>
    <x v="2"/>
    <x v="21"/>
  </r>
  <r>
    <s v="ORD1121"/>
    <x v="2"/>
    <x v="2"/>
    <x v="0"/>
    <x v="1"/>
    <x v="102"/>
    <d v="2024-01-03T00:00:00"/>
    <d v="2023-03-07T00:00:00"/>
    <n v="32"/>
    <n v="187.79"/>
    <n v="3776.76"/>
    <x v="0"/>
    <x v="1"/>
    <x v="0"/>
    <x v="26"/>
  </r>
  <r>
    <s v="ORD1122"/>
    <x v="2"/>
    <x v="2"/>
    <x v="2"/>
    <x v="3"/>
    <x v="103"/>
    <d v="2023-10-09T00:00:00"/>
    <d v="2024-03-11T00:00:00"/>
    <n v="190"/>
    <n v="466.8"/>
    <n v="8019.76"/>
    <x v="2"/>
    <x v="3"/>
    <x v="1"/>
    <x v="29"/>
  </r>
  <r>
    <s v="ORD1123"/>
    <x v="2"/>
    <x v="2"/>
    <x v="1"/>
    <x v="1"/>
    <x v="104"/>
    <d v="2023-05-09T00:00:00"/>
    <d v="2024-11-04T00:00:00"/>
    <n v="74"/>
    <n v="414.62"/>
    <n v="2772.72"/>
    <x v="0"/>
    <x v="1"/>
    <x v="0"/>
    <x v="29"/>
  </r>
  <r>
    <s v="ORD1124"/>
    <x v="1"/>
    <x v="1"/>
    <x v="2"/>
    <x v="0"/>
    <x v="105"/>
    <d v="2023-08-18T00:00:00"/>
    <d v="2023-09-29T00:00:00"/>
    <n v="10"/>
    <n v="350.12"/>
    <n v="6116.49"/>
    <x v="2"/>
    <x v="0"/>
    <x v="2"/>
    <x v="7"/>
  </r>
  <r>
    <s v="ORD1126"/>
    <x v="2"/>
    <x v="0"/>
    <x v="1"/>
    <x v="1"/>
    <x v="106"/>
    <d v="2023-05-17T00:00:00"/>
    <d v="2024-08-02T00:00:00"/>
    <n v="54"/>
    <n v="233.55"/>
    <n v="1054.73"/>
    <x v="2"/>
    <x v="1"/>
    <x v="0"/>
    <x v="0"/>
  </r>
  <r>
    <s v="ORD1127"/>
    <x v="1"/>
    <x v="1"/>
    <x v="2"/>
    <x v="0"/>
    <x v="107"/>
    <d v="2023-12-29T00:00:00"/>
    <d v="2024-05-12T00:00:00"/>
    <n v="52"/>
    <n v="460.89"/>
    <n v="2691.69"/>
    <x v="0"/>
    <x v="1"/>
    <x v="0"/>
    <x v="4"/>
  </r>
  <r>
    <s v="ORD1129"/>
    <x v="2"/>
    <x v="1"/>
    <x v="0"/>
    <x v="2"/>
    <x v="108"/>
    <d v="2024-10-18T00:00:00"/>
    <d v="2024-04-17T00:00:00"/>
    <n v="160"/>
    <n v="365.85"/>
    <n v="8851.64"/>
    <x v="0"/>
    <x v="3"/>
    <x v="0"/>
    <x v="5"/>
  </r>
  <r>
    <s v="ORD1130"/>
    <x v="1"/>
    <x v="0"/>
    <x v="1"/>
    <x v="2"/>
    <x v="109"/>
    <d v="2024-08-07T00:00:00"/>
    <d v="2024-10-26T00:00:00"/>
    <n v="114"/>
    <n v="431.54"/>
    <n v="2471.8000000000002"/>
    <x v="0"/>
    <x v="0"/>
    <x v="1"/>
    <x v="16"/>
  </r>
  <r>
    <s v="ORD1131"/>
    <x v="1"/>
    <x v="0"/>
    <x v="1"/>
    <x v="2"/>
    <x v="110"/>
    <d v="2023-05-10T00:00:00"/>
    <d v="2023-11-25T00:00:00"/>
    <n v="14"/>
    <n v="140.66999999999999"/>
    <n v="8379.34"/>
    <x v="0"/>
    <x v="3"/>
    <x v="0"/>
    <x v="1"/>
  </r>
  <r>
    <s v="ORD1132"/>
    <x v="2"/>
    <x v="0"/>
    <x v="0"/>
    <x v="2"/>
    <x v="111"/>
    <d v="2023-09-19T00:00:00"/>
    <d v="2023-11-04T00:00:00"/>
    <n v="178"/>
    <n v="404.5"/>
    <n v="8866.6299999999992"/>
    <x v="0"/>
    <x v="0"/>
    <x v="0"/>
    <x v="24"/>
  </r>
  <r>
    <s v="ORD1133"/>
    <x v="1"/>
    <x v="1"/>
    <x v="1"/>
    <x v="2"/>
    <x v="112"/>
    <d v="2024-05-30T00:00:00"/>
    <d v="2023-10-07T00:00:00"/>
    <n v="156"/>
    <n v="101.64"/>
    <n v="2852.08"/>
    <x v="0"/>
    <x v="1"/>
    <x v="2"/>
    <x v="21"/>
  </r>
  <r>
    <s v="ORD1134"/>
    <x v="2"/>
    <x v="0"/>
    <x v="1"/>
    <x v="1"/>
    <x v="113"/>
    <d v="2024-03-25T00:00:00"/>
    <d v="2024-11-18T00:00:00"/>
    <n v="110"/>
    <n v="175.94"/>
    <n v="7387.39"/>
    <x v="2"/>
    <x v="1"/>
    <x v="2"/>
    <x v="5"/>
  </r>
  <r>
    <s v="ORD1135"/>
    <x v="2"/>
    <x v="1"/>
    <x v="0"/>
    <x v="3"/>
    <x v="82"/>
    <d v="2023-04-15T00:00:00"/>
    <d v="2023-07-24T00:00:00"/>
    <n v="53"/>
    <n v="171.13"/>
    <n v="5382.55"/>
    <x v="2"/>
    <x v="3"/>
    <x v="2"/>
    <x v="4"/>
  </r>
  <r>
    <s v="ORD1136"/>
    <x v="3"/>
    <x v="2"/>
    <x v="0"/>
    <x v="1"/>
    <x v="114"/>
    <d v="2024-04-28T00:00:00"/>
    <d v="2024-03-24T00:00:00"/>
    <n v="152"/>
    <n v="489.37"/>
    <n v="8988.9500000000007"/>
    <x v="2"/>
    <x v="3"/>
    <x v="2"/>
    <x v="5"/>
  </r>
  <r>
    <s v="ORD1137"/>
    <x v="2"/>
    <x v="1"/>
    <x v="0"/>
    <x v="0"/>
    <x v="115"/>
    <d v="2023-08-13T00:00:00"/>
    <d v="2023-11-24T00:00:00"/>
    <n v="79"/>
    <n v="428.99"/>
    <n v="1776.29"/>
    <x v="2"/>
    <x v="0"/>
    <x v="0"/>
    <x v="15"/>
  </r>
  <r>
    <s v="ORD1138"/>
    <x v="1"/>
    <x v="1"/>
    <x v="0"/>
    <x v="1"/>
    <x v="116"/>
    <d v="2024-05-06T00:00:00"/>
    <d v="2023-02-08T00:00:00"/>
    <n v="22"/>
    <n v="352.08"/>
    <n v="3432.72"/>
    <x v="2"/>
    <x v="3"/>
    <x v="2"/>
    <x v="2"/>
  </r>
  <r>
    <s v="ORD1139"/>
    <x v="2"/>
    <x v="1"/>
    <x v="0"/>
    <x v="1"/>
    <x v="13"/>
    <d v="2024-04-18T00:00:00"/>
    <d v="2024-04-30T00:00:00"/>
    <n v="30"/>
    <n v="364.89"/>
    <n v="5981.02"/>
    <x v="0"/>
    <x v="3"/>
    <x v="2"/>
    <x v="17"/>
  </r>
  <r>
    <s v="ORD1140"/>
    <x v="3"/>
    <x v="1"/>
    <x v="0"/>
    <x v="1"/>
    <x v="117"/>
    <d v="2023-01-11T00:00:00"/>
    <d v="2025-01-01T00:00:00"/>
    <n v="191"/>
    <n v="283.23"/>
    <n v="5951.92"/>
    <x v="0"/>
    <x v="0"/>
    <x v="2"/>
    <x v="15"/>
  </r>
  <r>
    <s v="ORD1141"/>
    <x v="3"/>
    <x v="1"/>
    <x v="1"/>
    <x v="1"/>
    <x v="118"/>
    <d v="2024-02-10T00:00:00"/>
    <d v="2024-04-28T00:00:00"/>
    <n v="4"/>
    <n v="473.81"/>
    <n v="3540.65"/>
    <x v="0"/>
    <x v="1"/>
    <x v="2"/>
    <x v="13"/>
  </r>
  <r>
    <s v="ORD1142"/>
    <x v="0"/>
    <x v="2"/>
    <x v="2"/>
    <x v="0"/>
    <x v="119"/>
    <d v="2023-10-30T00:00:00"/>
    <d v="2023-03-10T00:00:00"/>
    <n v="59"/>
    <n v="250.65"/>
    <n v="7088.6"/>
    <x v="0"/>
    <x v="0"/>
    <x v="2"/>
    <x v="10"/>
  </r>
  <r>
    <s v="ORD1143"/>
    <x v="0"/>
    <x v="2"/>
    <x v="0"/>
    <x v="3"/>
    <x v="120"/>
    <d v="2023-08-20T00:00:00"/>
    <d v="2023-01-12T00:00:00"/>
    <n v="8"/>
    <n v="193.36"/>
    <n v="6223.71"/>
    <x v="0"/>
    <x v="3"/>
    <x v="2"/>
    <x v="8"/>
  </r>
  <r>
    <s v="ORD1144"/>
    <x v="1"/>
    <x v="0"/>
    <x v="2"/>
    <x v="2"/>
    <x v="121"/>
    <d v="2025-01-01T00:00:00"/>
    <d v="2023-11-01T00:00:00"/>
    <n v="12"/>
    <n v="85.7"/>
    <n v="193.1"/>
    <x v="0"/>
    <x v="0"/>
    <x v="2"/>
    <x v="7"/>
  </r>
  <r>
    <s v="ORD1145"/>
    <x v="2"/>
    <x v="0"/>
    <x v="2"/>
    <x v="2"/>
    <x v="122"/>
    <d v="2023-03-08T00:00:00"/>
    <d v="2023-12-13T00:00:00"/>
    <n v="119"/>
    <n v="394.17"/>
    <n v="5040.1000000000004"/>
    <x v="2"/>
    <x v="3"/>
    <x v="1"/>
    <x v="19"/>
  </r>
  <r>
    <s v="ORD1146"/>
    <x v="0"/>
    <x v="0"/>
    <x v="0"/>
    <x v="3"/>
    <x v="123"/>
    <d v="2023-04-23T00:00:00"/>
    <d v="2024-03-10T00:00:00"/>
    <n v="159"/>
    <n v="368.55"/>
    <n v="1740.32"/>
    <x v="2"/>
    <x v="0"/>
    <x v="1"/>
    <x v="15"/>
  </r>
  <r>
    <s v="ORD1147"/>
    <x v="0"/>
    <x v="0"/>
    <x v="0"/>
    <x v="3"/>
    <x v="124"/>
    <d v="2023-01-14T00:00:00"/>
    <d v="2024-03-03T00:00:00"/>
    <n v="34"/>
    <n v="195.26"/>
    <n v="3705.54"/>
    <x v="2"/>
    <x v="3"/>
    <x v="0"/>
    <x v="18"/>
  </r>
  <r>
    <s v="ORD1148"/>
    <x v="0"/>
    <x v="0"/>
    <x v="0"/>
    <x v="0"/>
    <x v="125"/>
    <d v="2024-01-29T00:00:00"/>
    <d v="2023-12-02T00:00:00"/>
    <n v="82"/>
    <n v="17.47"/>
    <n v="7579.47"/>
    <x v="2"/>
    <x v="0"/>
    <x v="0"/>
    <x v="12"/>
  </r>
  <r>
    <s v="ORD1149"/>
    <x v="2"/>
    <x v="0"/>
    <x v="0"/>
    <x v="0"/>
    <x v="126"/>
    <d v="2024-05-15T00:00:00"/>
    <d v="2024-03-17T00:00:00"/>
    <n v="98"/>
    <n v="420.3"/>
    <n v="6116.49"/>
    <x v="0"/>
    <x v="0"/>
    <x v="0"/>
    <x v="28"/>
  </r>
  <r>
    <s v="ORD1150"/>
    <x v="2"/>
    <x v="0"/>
    <x v="0"/>
    <x v="0"/>
    <x v="127"/>
    <d v="2024-08-21T00:00:00"/>
    <d v="2024-08-14T00:00:00"/>
    <n v="127"/>
    <n v="10.65"/>
    <n v="5548.99"/>
    <x v="0"/>
    <x v="2"/>
    <x v="0"/>
    <x v="15"/>
  </r>
  <r>
    <s v="ORD1151"/>
    <x v="2"/>
    <x v="0"/>
    <x v="0"/>
    <x v="1"/>
    <x v="62"/>
    <d v="2023-08-23T00:00:00"/>
    <d v="2023-06-27T00:00:00"/>
    <n v="75"/>
    <n v="353.33"/>
    <n v="8960.85"/>
    <x v="0"/>
    <x v="2"/>
    <x v="2"/>
    <x v="0"/>
  </r>
  <r>
    <s v="ORD1152"/>
    <x v="1"/>
    <x v="2"/>
    <x v="0"/>
    <x v="1"/>
    <x v="65"/>
    <d v="2024-08-25T00:00:00"/>
    <d v="2024-07-16T00:00:00"/>
    <n v="105"/>
    <n v="485.28"/>
    <n v="9474.26"/>
    <x v="2"/>
    <x v="1"/>
    <x v="0"/>
    <x v="18"/>
  </r>
  <r>
    <s v="ORD1153"/>
    <x v="1"/>
    <x v="2"/>
    <x v="0"/>
    <x v="3"/>
    <x v="128"/>
    <d v="2023-11-11T00:00:00"/>
    <d v="2024-06-14T00:00:00"/>
    <n v="49"/>
    <n v="221.64"/>
    <n v="7634.91"/>
    <x v="1"/>
    <x v="2"/>
    <x v="0"/>
    <x v="6"/>
  </r>
  <r>
    <s v="ORD1154"/>
    <x v="0"/>
    <x v="2"/>
    <x v="0"/>
    <x v="3"/>
    <x v="129"/>
    <d v="2024-07-20T00:00:00"/>
    <d v="2024-10-24T00:00:00"/>
    <n v="79"/>
    <n v="121.31"/>
    <n v="8274.18"/>
    <x v="2"/>
    <x v="3"/>
    <x v="1"/>
    <x v="8"/>
  </r>
  <r>
    <s v="ORD1155"/>
    <x v="0"/>
    <x v="2"/>
    <x v="0"/>
    <x v="1"/>
    <x v="130"/>
    <d v="2023-01-13T00:00:00"/>
    <d v="2023-01-30T00:00:00"/>
    <n v="185"/>
    <n v="353.91"/>
    <n v="6258.78"/>
    <x v="0"/>
    <x v="1"/>
    <x v="0"/>
    <x v="16"/>
  </r>
  <r>
    <s v="ORD1156"/>
    <x v="1"/>
    <x v="1"/>
    <x v="0"/>
    <x v="1"/>
    <x v="131"/>
    <d v="2023-07-29T00:00:00"/>
    <d v="2024-08-31T00:00:00"/>
    <n v="93"/>
    <n v="409.48"/>
    <n v="9679.23"/>
    <x v="0"/>
    <x v="3"/>
    <x v="0"/>
    <x v="20"/>
  </r>
  <r>
    <s v="ORD1157"/>
    <x v="1"/>
    <x v="1"/>
    <x v="1"/>
    <x v="1"/>
    <x v="132"/>
    <d v="2023-01-15T00:00:00"/>
    <d v="2024-02-14T00:00:00"/>
    <n v="154"/>
    <n v="275.48"/>
    <n v="6756.24"/>
    <x v="0"/>
    <x v="1"/>
    <x v="0"/>
    <x v="10"/>
  </r>
  <r>
    <s v="ORD1158"/>
    <x v="2"/>
    <x v="2"/>
    <x v="1"/>
    <x v="0"/>
    <x v="133"/>
    <d v="2024-09-25T00:00:00"/>
    <d v="2023-08-24T00:00:00"/>
    <n v="18"/>
    <n v="483.68"/>
    <n v="1740.32"/>
    <x v="0"/>
    <x v="2"/>
    <x v="1"/>
    <x v="0"/>
  </r>
  <r>
    <s v="ORD1159"/>
    <x v="0"/>
    <x v="2"/>
    <x v="1"/>
    <x v="3"/>
    <x v="134"/>
    <d v="2024-02-23T00:00:00"/>
    <d v="2024-06-20T00:00:00"/>
    <n v="96"/>
    <n v="30.58"/>
    <n v="9285.41"/>
    <x v="2"/>
    <x v="3"/>
    <x v="1"/>
    <x v="19"/>
  </r>
  <r>
    <s v="ORD1160"/>
    <x v="3"/>
    <x v="2"/>
    <x v="1"/>
    <x v="3"/>
    <x v="135"/>
    <d v="2024-03-13T00:00:00"/>
    <d v="2024-07-07T00:00:00"/>
    <n v="38"/>
    <n v="254.87"/>
    <n v="3209.62"/>
    <x v="2"/>
    <x v="3"/>
    <x v="2"/>
    <x v="16"/>
  </r>
  <r>
    <s v="ORD1161"/>
    <x v="3"/>
    <x v="2"/>
    <x v="0"/>
    <x v="0"/>
    <x v="136"/>
    <d v="2024-01-13T00:00:00"/>
    <d v="2024-05-23T00:00:00"/>
    <n v="87"/>
    <n v="360.63"/>
    <n v="8854.31"/>
    <x v="0"/>
    <x v="0"/>
    <x v="2"/>
    <x v="4"/>
  </r>
  <r>
    <s v="ORD1162"/>
    <x v="3"/>
    <x v="1"/>
    <x v="0"/>
    <x v="1"/>
    <x v="137"/>
    <d v="2023-01-21T00:00:00"/>
    <d v="2024-11-03T00:00:00"/>
    <n v="88"/>
    <n v="432.01"/>
    <n v="7343.35"/>
    <x v="2"/>
    <x v="3"/>
    <x v="1"/>
    <x v="7"/>
  </r>
  <r>
    <s v="ORD1163"/>
    <x v="2"/>
    <x v="1"/>
    <x v="0"/>
    <x v="1"/>
    <x v="138"/>
    <d v="2024-08-10T00:00:00"/>
    <d v="2023-07-02T00:00:00"/>
    <n v="50"/>
    <n v="93.73"/>
    <n v="9995.6"/>
    <x v="2"/>
    <x v="0"/>
    <x v="0"/>
    <x v="18"/>
  </r>
  <r>
    <s v="ORD1164"/>
    <x v="2"/>
    <x v="1"/>
    <x v="1"/>
    <x v="0"/>
    <x v="139"/>
    <d v="2025-01-05T00:00:00"/>
    <d v="2023-05-16T00:00:00"/>
    <n v="8"/>
    <n v="401"/>
    <n v="7579.47"/>
    <x v="2"/>
    <x v="3"/>
    <x v="0"/>
    <x v="14"/>
  </r>
  <r>
    <s v="ORD1165"/>
    <x v="2"/>
    <x v="1"/>
    <x v="2"/>
    <x v="0"/>
    <x v="140"/>
    <d v="2023-03-12T00:00:00"/>
    <d v="2024-04-03T00:00:00"/>
    <n v="169"/>
    <n v="278.58999999999997"/>
    <n v="7066.13"/>
    <x v="2"/>
    <x v="3"/>
    <x v="1"/>
    <x v="27"/>
  </r>
  <r>
    <s v="ORD1166"/>
    <x v="2"/>
    <x v="1"/>
    <x v="0"/>
    <x v="1"/>
    <x v="141"/>
    <d v="2023-07-31T00:00:00"/>
    <d v="2023-12-18T00:00:00"/>
    <n v="134"/>
    <n v="201.29"/>
    <n v="2669.31"/>
    <x v="2"/>
    <x v="0"/>
    <x v="0"/>
    <x v="23"/>
  </r>
  <r>
    <s v="ORD1167"/>
    <x v="0"/>
    <x v="1"/>
    <x v="1"/>
    <x v="2"/>
    <x v="142"/>
    <d v="2023-04-12T00:00:00"/>
    <d v="2024-06-27T00:00:00"/>
    <n v="69"/>
    <n v="70.2"/>
    <n v="968.99"/>
    <x v="1"/>
    <x v="1"/>
    <x v="1"/>
    <x v="4"/>
  </r>
  <r>
    <s v="ORD1168"/>
    <x v="0"/>
    <x v="0"/>
    <x v="2"/>
    <x v="3"/>
    <x v="143"/>
    <d v="2024-11-29T00:00:00"/>
    <d v="2024-02-14T00:00:00"/>
    <n v="172"/>
    <n v="433.32"/>
    <n v="7634.91"/>
    <x v="2"/>
    <x v="1"/>
    <x v="1"/>
    <x v="3"/>
  </r>
  <r>
    <s v="ORD1169"/>
    <x v="0"/>
    <x v="0"/>
    <x v="2"/>
    <x v="3"/>
    <x v="100"/>
    <d v="2023-05-13T00:00:00"/>
    <d v="2023-03-21T00:00:00"/>
    <n v="121"/>
    <n v="82.85"/>
    <n v="9901.58"/>
    <x v="2"/>
    <x v="3"/>
    <x v="0"/>
    <x v="26"/>
  </r>
  <r>
    <s v="ORD1171"/>
    <x v="0"/>
    <x v="2"/>
    <x v="0"/>
    <x v="1"/>
    <x v="144"/>
    <d v="2024-01-17T00:00:00"/>
    <d v="2024-05-10T00:00:00"/>
    <n v="157"/>
    <n v="148.57"/>
    <n v="6587.45"/>
    <x v="0"/>
    <x v="3"/>
    <x v="2"/>
    <x v="25"/>
  </r>
  <r>
    <s v="ORD1172"/>
    <x v="2"/>
    <x v="2"/>
    <x v="2"/>
    <x v="0"/>
    <x v="145"/>
    <d v="2023-05-13T00:00:00"/>
    <d v="2023-07-17T00:00:00"/>
    <n v="156"/>
    <n v="436.35"/>
    <n v="397.37"/>
    <x v="2"/>
    <x v="3"/>
    <x v="2"/>
    <x v="28"/>
  </r>
  <r>
    <s v="ORD1173"/>
    <x v="2"/>
    <x v="0"/>
    <x v="1"/>
    <x v="1"/>
    <x v="146"/>
    <d v="2023-01-21T00:00:00"/>
    <d v="2023-06-15T00:00:00"/>
    <n v="139"/>
    <n v="337.99"/>
    <n v="8747.01"/>
    <x v="0"/>
    <x v="3"/>
    <x v="0"/>
    <x v="26"/>
  </r>
  <r>
    <s v="ORD1174"/>
    <x v="1"/>
    <x v="0"/>
    <x v="0"/>
    <x v="1"/>
    <x v="147"/>
    <d v="2024-06-20T00:00:00"/>
    <d v="2023-12-17T00:00:00"/>
    <n v="121"/>
    <n v="399.36"/>
    <n v="7401.72"/>
    <x v="0"/>
    <x v="3"/>
    <x v="0"/>
    <x v="25"/>
  </r>
  <r>
    <s v="ORD1175"/>
    <x v="3"/>
    <x v="0"/>
    <x v="0"/>
    <x v="3"/>
    <x v="148"/>
    <d v="2023-08-16T00:00:00"/>
    <d v="2023-12-31T00:00:00"/>
    <n v="65"/>
    <n v="128.97999999999999"/>
    <n v="3153.2"/>
    <x v="2"/>
    <x v="3"/>
    <x v="0"/>
    <x v="18"/>
  </r>
  <r>
    <s v="ORD1176"/>
    <x v="0"/>
    <x v="0"/>
    <x v="0"/>
    <x v="2"/>
    <x v="44"/>
    <d v="2023-06-04T00:00:00"/>
    <d v="2024-08-10T00:00:00"/>
    <n v="107"/>
    <n v="314.31"/>
    <n v="7582.63"/>
    <x v="2"/>
    <x v="0"/>
    <x v="1"/>
    <x v="25"/>
  </r>
  <r>
    <s v="ORD1177"/>
    <x v="2"/>
    <x v="0"/>
    <x v="1"/>
    <x v="3"/>
    <x v="149"/>
    <d v="2024-04-14T00:00:00"/>
    <d v="2023-04-01T00:00:00"/>
    <n v="147"/>
    <n v="288.01"/>
    <n v="2144.54"/>
    <x v="0"/>
    <x v="1"/>
    <x v="1"/>
    <x v="12"/>
  </r>
  <r>
    <s v="ORD1178"/>
    <x v="2"/>
    <x v="0"/>
    <x v="2"/>
    <x v="0"/>
    <x v="41"/>
    <d v="2024-02-10T00:00:00"/>
    <d v="2023-09-23T00:00:00"/>
    <n v="137"/>
    <n v="417.25"/>
    <n v="4025.21"/>
    <x v="2"/>
    <x v="3"/>
    <x v="1"/>
    <x v="27"/>
  </r>
  <r>
    <s v="ORD1179"/>
    <x v="2"/>
    <x v="1"/>
    <x v="2"/>
    <x v="3"/>
    <x v="150"/>
    <d v="2023-07-22T00:00:00"/>
    <d v="2023-08-06T00:00:00"/>
    <n v="155"/>
    <n v="453.51"/>
    <n v="8458.9500000000007"/>
    <x v="2"/>
    <x v="0"/>
    <x v="1"/>
    <x v="24"/>
  </r>
  <r>
    <s v="ORD1180"/>
    <x v="2"/>
    <x v="1"/>
    <x v="1"/>
    <x v="3"/>
    <x v="151"/>
    <d v="2023-02-08T00:00:00"/>
    <d v="2024-10-30T00:00:00"/>
    <n v="162"/>
    <n v="11.02"/>
    <n v="3172.58"/>
    <x v="2"/>
    <x v="0"/>
    <x v="0"/>
    <x v="21"/>
  </r>
  <r>
    <s v="ORD1181"/>
    <x v="2"/>
    <x v="1"/>
    <x v="2"/>
    <x v="1"/>
    <x v="152"/>
    <d v="2023-07-08T00:00:00"/>
    <d v="2024-12-26T00:00:00"/>
    <n v="172"/>
    <n v="338.64"/>
    <n v="2147.39"/>
    <x v="2"/>
    <x v="3"/>
    <x v="0"/>
    <x v="0"/>
  </r>
  <r>
    <s v="ORD1182"/>
    <x v="1"/>
    <x v="1"/>
    <x v="0"/>
    <x v="1"/>
    <x v="153"/>
    <d v="2023-02-27T00:00:00"/>
    <d v="2024-07-30T00:00:00"/>
    <n v="196"/>
    <n v="30.66"/>
    <n v="372.81"/>
    <x v="2"/>
    <x v="3"/>
    <x v="0"/>
    <x v="17"/>
  </r>
  <r>
    <s v="ORD1183"/>
    <x v="2"/>
    <x v="1"/>
    <x v="0"/>
    <x v="1"/>
    <x v="154"/>
    <d v="2023-01-21T00:00:00"/>
    <d v="2023-09-23T00:00:00"/>
    <n v="100"/>
    <n v="276.69"/>
    <n v="9611.16"/>
    <x v="2"/>
    <x v="3"/>
    <x v="1"/>
    <x v="19"/>
  </r>
  <r>
    <s v="ORD1184"/>
    <x v="2"/>
    <x v="1"/>
    <x v="0"/>
    <x v="1"/>
    <x v="155"/>
    <d v="2023-10-01T00:00:00"/>
    <d v="2025-01-03T00:00:00"/>
    <n v="82"/>
    <n v="147.38"/>
    <n v="3483.58"/>
    <x v="0"/>
    <x v="0"/>
    <x v="2"/>
    <x v="11"/>
  </r>
  <r>
    <s v="ORD1185"/>
    <x v="0"/>
    <x v="1"/>
    <x v="2"/>
    <x v="0"/>
    <x v="156"/>
    <d v="2023-04-30T00:00:00"/>
    <d v="2023-10-14T00:00:00"/>
    <n v="143"/>
    <n v="156.85"/>
    <n v="9895.0400000000009"/>
    <x v="2"/>
    <x v="3"/>
    <x v="2"/>
    <x v="3"/>
  </r>
  <r>
    <s v="ORD1186"/>
    <x v="0"/>
    <x v="2"/>
    <x v="2"/>
    <x v="0"/>
    <x v="157"/>
    <d v="2024-08-06T00:00:00"/>
    <d v="2024-10-13T00:00:00"/>
    <n v="51"/>
    <n v="179.71"/>
    <n v="5814.18"/>
    <x v="2"/>
    <x v="3"/>
    <x v="1"/>
    <x v="1"/>
  </r>
  <r>
    <s v="ORD1187"/>
    <x v="2"/>
    <x v="2"/>
    <x v="0"/>
    <x v="2"/>
    <x v="158"/>
    <d v="2024-05-31T00:00:00"/>
    <d v="2024-04-15T00:00:00"/>
    <n v="141"/>
    <n v="312.54000000000002"/>
    <n v="4666.62"/>
    <x v="0"/>
    <x v="1"/>
    <x v="0"/>
    <x v="4"/>
  </r>
  <r>
    <s v="ORD1188"/>
    <x v="1"/>
    <x v="2"/>
    <x v="0"/>
    <x v="3"/>
    <x v="98"/>
    <d v="2023-08-10T00:00:00"/>
    <d v="2024-01-19T00:00:00"/>
    <n v="83"/>
    <n v="170.35"/>
    <n v="4919.46"/>
    <x v="0"/>
    <x v="3"/>
    <x v="0"/>
    <x v="17"/>
  </r>
  <r>
    <s v="ORD1189"/>
    <x v="2"/>
    <x v="2"/>
    <x v="1"/>
    <x v="0"/>
    <x v="159"/>
    <d v="2024-06-10T00:00:00"/>
    <d v="2024-01-01T00:00:00"/>
    <n v="177"/>
    <n v="367.69"/>
    <n v="3624.13"/>
    <x v="0"/>
    <x v="0"/>
    <x v="1"/>
    <x v="3"/>
  </r>
  <r>
    <s v="ORD1190"/>
    <x v="1"/>
    <x v="2"/>
    <x v="1"/>
    <x v="1"/>
    <x v="94"/>
    <d v="2024-05-30T00:00:00"/>
    <d v="2024-03-28T00:00:00"/>
    <n v="198"/>
    <n v="205.24"/>
    <n v="6728.02"/>
    <x v="0"/>
    <x v="0"/>
    <x v="1"/>
    <x v="20"/>
  </r>
  <r>
    <s v="ORD1191"/>
    <x v="2"/>
    <x v="2"/>
    <x v="1"/>
    <x v="3"/>
    <x v="160"/>
    <d v="2024-12-29T00:00:00"/>
    <d v="2024-03-20T00:00:00"/>
    <n v="112"/>
    <n v="38.83"/>
    <n v="2647.43"/>
    <x v="0"/>
    <x v="3"/>
    <x v="2"/>
    <x v="26"/>
  </r>
  <r>
    <s v="ORD1192"/>
    <x v="2"/>
    <x v="2"/>
    <x v="0"/>
    <x v="1"/>
    <x v="161"/>
    <m/>
    <d v="2023-04-07T00:00:00"/>
    <n v="56"/>
    <n v="392.96"/>
    <n v="4707.29"/>
    <x v="0"/>
    <x v="0"/>
    <x v="2"/>
    <x v="21"/>
  </r>
  <r>
    <s v="ORD1193"/>
    <x v="2"/>
    <x v="0"/>
    <x v="0"/>
    <x v="3"/>
    <x v="122"/>
    <d v="2023-12-03T00:00:00"/>
    <d v="2024-09-16T00:00:00"/>
    <n v="179"/>
    <n v="146.44999999999999"/>
    <n v="9988.98"/>
    <x v="0"/>
    <x v="0"/>
    <x v="2"/>
    <x v="21"/>
  </r>
  <r>
    <s v="ORD1195"/>
    <x v="1"/>
    <x v="0"/>
    <x v="1"/>
    <x v="0"/>
    <x v="97"/>
    <d v="2023-02-25T00:00:00"/>
    <d v="2023-05-26T00:00:00"/>
    <n v="145"/>
    <n v="344.29"/>
    <n v="2336.7800000000002"/>
    <x v="0"/>
    <x v="0"/>
    <x v="0"/>
    <x v="7"/>
  </r>
  <r>
    <s v="ORD1196"/>
    <x v="3"/>
    <x v="0"/>
    <x v="0"/>
    <x v="3"/>
    <x v="162"/>
    <d v="2024-05-15T00:00:00"/>
    <d v="2023-10-22T00:00:00"/>
    <n v="186"/>
    <n v="169.57"/>
    <n v="1414.63"/>
    <x v="0"/>
    <x v="1"/>
    <x v="0"/>
    <x v="5"/>
  </r>
  <r>
    <s v="ORD1197"/>
    <x v="0"/>
    <x v="0"/>
    <x v="0"/>
    <x v="3"/>
    <x v="163"/>
    <d v="2024-06-20T00:00:00"/>
    <d v="2024-03-11T00:00:00"/>
    <n v="157"/>
    <n v="33.01"/>
    <n v="4765.5200000000004"/>
    <x v="2"/>
    <x v="3"/>
    <x v="1"/>
    <x v="25"/>
  </r>
  <r>
    <s v="ORD1198"/>
    <x v="1"/>
    <x v="0"/>
    <x v="2"/>
    <x v="1"/>
    <x v="164"/>
    <d v="2023-06-12T00:00:00"/>
    <d v="2024-11-23T00:00:00"/>
    <n v="161"/>
    <n v="190.09"/>
    <n v="9294.94"/>
    <x v="0"/>
    <x v="0"/>
    <x v="1"/>
    <x v="24"/>
  </r>
  <r>
    <s v="ORD1199"/>
    <x v="2"/>
    <x v="2"/>
    <x v="1"/>
    <x v="1"/>
    <x v="131"/>
    <d v="2024-11-01T00:00:00"/>
    <d v="2024-10-18T00:00:00"/>
    <n v="60"/>
    <n v="472.5"/>
    <n v="4919.46"/>
    <x v="1"/>
    <x v="0"/>
    <x v="2"/>
    <x v="16"/>
  </r>
  <r>
    <s v="ORD1200"/>
    <x v="2"/>
    <x v="0"/>
    <x v="1"/>
    <x v="1"/>
    <x v="128"/>
    <d v="2024-08-17T00:00:00"/>
    <d v="2024-12-05T00:00:00"/>
    <n v="120"/>
    <n v="322.66000000000003"/>
    <n v="4622.8599999999997"/>
    <x v="2"/>
    <x v="3"/>
    <x v="0"/>
    <x v="22"/>
  </r>
  <r>
    <s v="ORD1201"/>
    <x v="0"/>
    <x v="2"/>
    <x v="0"/>
    <x v="1"/>
    <x v="165"/>
    <d v="2023-06-09T00:00:00"/>
    <d v="2023-02-22T00:00:00"/>
    <n v="183"/>
    <n v="337.38"/>
    <n v="2084.2600000000002"/>
    <x v="0"/>
    <x v="3"/>
    <x v="0"/>
    <x v="6"/>
  </r>
  <r>
    <s v="ORD1203"/>
    <x v="2"/>
    <x v="1"/>
    <x v="0"/>
    <x v="3"/>
    <x v="160"/>
    <d v="2023-03-02T00:00:00"/>
    <d v="2023-07-13T00:00:00"/>
    <n v="175"/>
    <n v="103.5"/>
    <n v="9679.23"/>
    <x v="1"/>
    <x v="3"/>
    <x v="1"/>
    <x v="21"/>
  </r>
  <r>
    <s v="ORD1204"/>
    <x v="2"/>
    <x v="1"/>
    <x v="0"/>
    <x v="3"/>
    <x v="166"/>
    <d v="2023-11-16T00:00:00"/>
    <d v="2023-05-20T00:00:00"/>
    <n v="23"/>
    <n v="212.08"/>
    <n v="451.49"/>
    <x v="1"/>
    <x v="3"/>
    <x v="0"/>
    <x v="25"/>
  </r>
  <r>
    <s v="ORD1205"/>
    <x v="3"/>
    <x v="1"/>
    <x v="2"/>
    <x v="3"/>
    <x v="134"/>
    <d v="2023-07-31T00:00:00"/>
    <d v="2024-07-12T00:00:00"/>
    <n v="149"/>
    <n v="376.72"/>
    <n v="6764.12"/>
    <x v="0"/>
    <x v="3"/>
    <x v="0"/>
    <x v="16"/>
  </r>
  <r>
    <s v="ORD1206"/>
    <x v="0"/>
    <x v="1"/>
    <x v="2"/>
    <x v="1"/>
    <x v="167"/>
    <d v="2024-02-11T00:00:00"/>
    <d v="2024-02-12T00:00:00"/>
    <n v="13"/>
    <n v="55.18"/>
    <n v="8036.27"/>
    <x v="2"/>
    <x v="3"/>
    <x v="0"/>
    <x v="21"/>
  </r>
  <r>
    <s v="ORD1207"/>
    <x v="0"/>
    <x v="1"/>
    <x v="0"/>
    <x v="1"/>
    <x v="106"/>
    <d v="2024-10-26T00:00:00"/>
    <d v="2024-08-28T00:00:00"/>
    <n v="101"/>
    <n v="142.54"/>
    <n v="9961.77"/>
    <x v="0"/>
    <x v="3"/>
    <x v="1"/>
    <x v="5"/>
  </r>
  <r>
    <s v="ORD1208"/>
    <x v="2"/>
    <x v="1"/>
    <x v="0"/>
    <x v="1"/>
    <x v="168"/>
    <d v="2023-04-20T00:00:00"/>
    <d v="2023-12-11T00:00:00"/>
    <n v="161"/>
    <n v="141.78"/>
    <n v="6636.59"/>
    <x v="1"/>
    <x v="0"/>
    <x v="1"/>
    <x v="4"/>
  </r>
  <r>
    <s v="ORD1209"/>
    <x v="3"/>
    <x v="1"/>
    <x v="1"/>
    <x v="3"/>
    <x v="137"/>
    <d v="2023-03-18T00:00:00"/>
    <d v="2024-12-08T00:00:00"/>
    <n v="24"/>
    <n v="218.85"/>
    <n v="9335.39"/>
    <x v="0"/>
    <x v="0"/>
    <x v="0"/>
    <x v="12"/>
  </r>
  <r>
    <s v="ORD1210"/>
    <x v="1"/>
    <x v="1"/>
    <x v="1"/>
    <x v="3"/>
    <x v="169"/>
    <d v="2024-06-26T00:00:00"/>
    <d v="2023-11-18T00:00:00"/>
    <n v="108"/>
    <n v="490.28"/>
    <n v="3645.97"/>
    <x v="2"/>
    <x v="0"/>
    <x v="1"/>
    <x v="16"/>
  </r>
  <r>
    <s v="ORD1211"/>
    <x v="2"/>
    <x v="1"/>
    <x v="1"/>
    <x v="3"/>
    <x v="2"/>
    <d v="2023-11-11T00:00:00"/>
    <d v="2024-09-13T00:00:00"/>
    <n v="11"/>
    <n v="38.409999999999997"/>
    <n v="8099.79"/>
    <x v="2"/>
    <x v="3"/>
    <x v="1"/>
    <x v="19"/>
  </r>
  <r>
    <s v="ORD1212"/>
    <x v="2"/>
    <x v="1"/>
    <x v="0"/>
    <x v="1"/>
    <x v="168"/>
    <d v="2023-04-28T00:00:00"/>
    <d v="2024-01-02T00:00:00"/>
    <n v="17"/>
    <n v="261.76"/>
    <n v="6976.75"/>
    <x v="0"/>
    <x v="3"/>
    <x v="0"/>
    <x v="2"/>
  </r>
  <r>
    <s v="ORD1213"/>
    <x v="2"/>
    <x v="1"/>
    <x v="0"/>
    <x v="1"/>
    <x v="170"/>
    <d v="2024-12-05T00:00:00"/>
    <d v="2024-01-21T00:00:00"/>
    <n v="196"/>
    <n v="93.79"/>
    <n v="2892.79"/>
    <x v="0"/>
    <x v="0"/>
    <x v="0"/>
    <x v="24"/>
  </r>
  <r>
    <s v="ORD1214"/>
    <x v="2"/>
    <x v="1"/>
    <x v="0"/>
    <x v="2"/>
    <x v="171"/>
    <d v="2023-01-20T00:00:00"/>
    <d v="2023-08-25T00:00:00"/>
    <n v="175"/>
    <n v="485.48"/>
    <n v="7550.99"/>
    <x v="2"/>
    <x v="0"/>
    <x v="0"/>
    <x v="24"/>
  </r>
  <r>
    <s v="ORD1215"/>
    <x v="1"/>
    <x v="1"/>
    <x v="2"/>
    <x v="0"/>
    <x v="172"/>
    <d v="2024-03-08T00:00:00"/>
    <d v="2023-12-14T00:00:00"/>
    <n v="25"/>
    <n v="61.09"/>
    <n v="550.98"/>
    <x v="0"/>
    <x v="0"/>
    <x v="1"/>
    <x v="7"/>
  </r>
  <r>
    <s v="ORD1216"/>
    <x v="2"/>
    <x v="1"/>
    <x v="2"/>
    <x v="1"/>
    <x v="142"/>
    <d v="2024-11-16T00:00:00"/>
    <d v="2024-07-06T00:00:00"/>
    <n v="94"/>
    <n v="204.78"/>
    <n v="4215.1400000000003"/>
    <x v="0"/>
    <x v="3"/>
    <x v="0"/>
    <x v="29"/>
  </r>
  <r>
    <s v="ORD1218"/>
    <x v="3"/>
    <x v="0"/>
    <x v="0"/>
    <x v="1"/>
    <x v="173"/>
    <d v="2023-12-17T00:00:00"/>
    <d v="2024-06-16T00:00:00"/>
    <n v="21"/>
    <n v="353.75"/>
    <n v="3483.58"/>
    <x v="0"/>
    <x v="1"/>
    <x v="0"/>
    <x v="15"/>
  </r>
  <r>
    <s v="ORD1219"/>
    <x v="0"/>
    <x v="2"/>
    <x v="0"/>
    <x v="2"/>
    <x v="174"/>
    <d v="2023-07-03T00:00:00"/>
    <d v="2024-07-28T00:00:00"/>
    <n v="84"/>
    <n v="214.25"/>
    <n v="3657.47"/>
    <x v="0"/>
    <x v="1"/>
    <x v="1"/>
    <x v="16"/>
  </r>
  <r>
    <s v="ORD1220"/>
    <x v="2"/>
    <x v="0"/>
    <x v="1"/>
    <x v="2"/>
    <x v="87"/>
    <d v="2023-04-24T00:00:00"/>
    <d v="2023-07-06T00:00:00"/>
    <n v="140"/>
    <n v="176.53"/>
    <n v="4277.2700000000004"/>
    <x v="0"/>
    <x v="3"/>
    <x v="0"/>
    <x v="25"/>
  </r>
  <r>
    <s v="ORD1221"/>
    <x v="2"/>
    <x v="0"/>
    <x v="2"/>
    <x v="2"/>
    <x v="150"/>
    <d v="2023-07-03T00:00:00"/>
    <d v="2023-02-14T00:00:00"/>
    <n v="37"/>
    <n v="201.82"/>
    <n v="719.2"/>
    <x v="0"/>
    <x v="2"/>
    <x v="0"/>
    <x v="13"/>
  </r>
  <r>
    <s v="ORD1222"/>
    <x v="2"/>
    <x v="0"/>
    <x v="2"/>
    <x v="2"/>
    <x v="175"/>
    <d v="2024-04-26T00:00:00"/>
    <d v="2024-07-08T00:00:00"/>
    <n v="42"/>
    <n v="135.82"/>
    <n v="3296.23"/>
    <x v="2"/>
    <x v="3"/>
    <x v="0"/>
    <x v="21"/>
  </r>
  <r>
    <s v="ORD1223"/>
    <x v="2"/>
    <x v="0"/>
    <x v="1"/>
    <x v="2"/>
    <x v="176"/>
    <d v="2023-05-27T00:00:00"/>
    <d v="2024-02-05T00:00:00"/>
    <n v="145"/>
    <n v="106.64"/>
    <n v="3624.13"/>
    <x v="1"/>
    <x v="2"/>
    <x v="1"/>
    <x v="21"/>
  </r>
  <r>
    <s v="ORD1224"/>
    <x v="1"/>
    <x v="0"/>
    <x v="0"/>
    <x v="0"/>
    <x v="177"/>
    <d v="2024-09-20T00:00:00"/>
    <d v="2024-12-08T00:00:00"/>
    <n v="101"/>
    <n v="244.1"/>
    <n v="3540.65"/>
    <x v="2"/>
    <x v="2"/>
    <x v="1"/>
    <x v="28"/>
  </r>
  <r>
    <s v="ORD1225"/>
    <x v="2"/>
    <x v="0"/>
    <x v="0"/>
    <x v="1"/>
    <x v="178"/>
    <d v="2023-04-24T00:00:00"/>
    <d v="2024-05-12T00:00:00"/>
    <n v="48"/>
    <n v="137.91999999999999"/>
    <n v="2419.56"/>
    <x v="0"/>
    <x v="2"/>
    <x v="0"/>
    <x v="21"/>
  </r>
  <r>
    <s v="ORD1226"/>
    <x v="3"/>
    <x v="0"/>
    <x v="0"/>
    <x v="1"/>
    <x v="179"/>
    <d v="2024-04-21T00:00:00"/>
    <d v="2024-10-24T00:00:00"/>
    <n v="103"/>
    <n v="147.29"/>
    <n v="7655.32"/>
    <x v="0"/>
    <x v="1"/>
    <x v="2"/>
    <x v="28"/>
  </r>
  <r>
    <s v="ORD1227"/>
    <x v="3"/>
    <x v="0"/>
    <x v="0"/>
    <x v="1"/>
    <x v="26"/>
    <d v="2023-10-31T00:00:00"/>
    <d v="2023-12-03T00:00:00"/>
    <n v="28"/>
    <n v="330.09"/>
    <n v="6801.07"/>
    <x v="1"/>
    <x v="2"/>
    <x v="1"/>
    <x v="6"/>
  </r>
  <r>
    <s v="ORD1228"/>
    <x v="0"/>
    <x v="0"/>
    <x v="0"/>
    <x v="3"/>
    <x v="180"/>
    <d v="2023-04-29T00:00:00"/>
    <d v="2023-05-11T00:00:00"/>
    <n v="41"/>
    <n v="484.43"/>
    <n v="3762.57"/>
    <x v="0"/>
    <x v="1"/>
    <x v="2"/>
    <x v="2"/>
  </r>
  <r>
    <s v="ORD1230"/>
    <x v="2"/>
    <x v="2"/>
    <x v="2"/>
    <x v="1"/>
    <x v="181"/>
    <d v="2024-02-06T00:00:00"/>
    <d v="2024-07-14T00:00:00"/>
    <n v="47"/>
    <n v="43.1"/>
    <n v="4277.2700000000004"/>
    <x v="0"/>
    <x v="1"/>
    <x v="0"/>
    <x v="0"/>
  </r>
  <r>
    <s v="ORD1231"/>
    <x v="0"/>
    <x v="1"/>
    <x v="0"/>
    <x v="0"/>
    <x v="182"/>
    <d v="2023-07-18T00:00:00"/>
    <d v="2023-01-05T00:00:00"/>
    <n v="146"/>
    <n v="42.41"/>
    <n v="5123.05"/>
    <x v="1"/>
    <x v="3"/>
    <x v="0"/>
    <x v="27"/>
  </r>
  <r>
    <s v="ORD1232"/>
    <x v="1"/>
    <x v="2"/>
    <x v="1"/>
    <x v="0"/>
    <x v="183"/>
    <d v="2023-09-18T00:00:00"/>
    <d v="2023-06-21T00:00:00"/>
    <n v="105"/>
    <n v="475.95"/>
    <n v="1298.5899999999999"/>
    <x v="0"/>
    <x v="1"/>
    <x v="0"/>
    <x v="16"/>
  </r>
  <r>
    <s v="ORD1233"/>
    <x v="1"/>
    <x v="2"/>
    <x v="0"/>
    <x v="0"/>
    <x v="109"/>
    <d v="2024-10-22T00:00:00"/>
    <d v="2024-09-15T00:00:00"/>
    <n v="124"/>
    <n v="152.16"/>
    <n v="2155.7800000000002"/>
    <x v="0"/>
    <x v="1"/>
    <x v="0"/>
    <x v="8"/>
  </r>
  <r>
    <s v="ORD1234"/>
    <x v="2"/>
    <x v="0"/>
    <x v="2"/>
    <x v="1"/>
    <x v="30"/>
    <d v="2023-02-17T00:00:00"/>
    <d v="2023-01-23T00:00:00"/>
    <n v="199"/>
    <n v="50.57"/>
    <n v="8158.65"/>
    <x v="1"/>
    <x v="0"/>
    <x v="2"/>
    <x v="6"/>
  </r>
  <r>
    <s v="ORD1235"/>
    <x v="2"/>
    <x v="1"/>
    <x v="0"/>
    <x v="1"/>
    <x v="184"/>
    <d v="2024-02-04T00:00:00"/>
    <d v="2023-12-02T00:00:00"/>
    <n v="13"/>
    <n v="301.52999999999997"/>
    <n v="5827.96"/>
    <x v="1"/>
    <x v="0"/>
    <x v="1"/>
    <x v="25"/>
  </r>
  <r>
    <s v="ORD1236"/>
    <x v="2"/>
    <x v="1"/>
    <x v="0"/>
    <x v="3"/>
    <x v="185"/>
    <d v="2024-12-11T00:00:00"/>
    <d v="2024-08-10T00:00:00"/>
    <n v="141"/>
    <n v="313.70999999999998"/>
    <n v="5698.89"/>
    <x v="0"/>
    <x v="0"/>
    <x v="0"/>
    <x v="7"/>
  </r>
  <r>
    <s v="ORD1237"/>
    <x v="0"/>
    <x v="1"/>
    <x v="2"/>
    <x v="1"/>
    <x v="186"/>
    <d v="2024-07-13T00:00:00"/>
    <d v="2024-04-04T00:00:00"/>
    <n v="100"/>
    <n v="326.01"/>
    <n v="6214.29"/>
    <x v="1"/>
    <x v="3"/>
    <x v="0"/>
    <x v="15"/>
  </r>
  <r>
    <s v="ORD1238"/>
    <x v="3"/>
    <x v="2"/>
    <x v="1"/>
    <x v="1"/>
    <x v="187"/>
    <d v="2023-03-20T00:00:00"/>
    <d v="2023-04-23T00:00:00"/>
    <n v="31"/>
    <n v="137.36000000000001"/>
    <n v="1089.32"/>
    <x v="1"/>
    <x v="3"/>
    <x v="0"/>
    <x v="5"/>
  </r>
  <r>
    <s v="ORD1239"/>
    <x v="2"/>
    <x v="2"/>
    <x v="0"/>
    <x v="1"/>
    <x v="188"/>
    <d v="2023-05-05T00:00:00"/>
    <d v="2023-09-29T00:00:00"/>
    <n v="130"/>
    <n v="12.48"/>
    <n v="7599.22"/>
    <x v="2"/>
    <x v="3"/>
    <x v="0"/>
    <x v="11"/>
  </r>
  <r>
    <s v="ORD1241"/>
    <x v="1"/>
    <x v="0"/>
    <x v="1"/>
    <x v="3"/>
    <x v="189"/>
    <d v="2023-05-18T00:00:00"/>
    <d v="2023-09-01T00:00:00"/>
    <n v="137"/>
    <n v="129.19"/>
    <n v="9682.36"/>
    <x v="0"/>
    <x v="3"/>
    <x v="2"/>
    <x v="10"/>
  </r>
  <r>
    <s v="ORD1242"/>
    <x v="2"/>
    <x v="0"/>
    <x v="0"/>
    <x v="3"/>
    <x v="190"/>
    <d v="2024-08-25T00:00:00"/>
    <d v="2023-11-01T00:00:00"/>
    <n v="73"/>
    <n v="339.63"/>
    <n v="2144.54"/>
    <x v="0"/>
    <x v="3"/>
    <x v="1"/>
    <x v="25"/>
  </r>
  <r>
    <s v="ORD1243"/>
    <x v="2"/>
    <x v="1"/>
    <x v="0"/>
    <x v="1"/>
    <x v="191"/>
    <d v="2024-02-05T00:00:00"/>
    <d v="2024-08-28T00:00:00"/>
    <n v="166"/>
    <n v="354.78"/>
    <n v="7387.39"/>
    <x v="0"/>
    <x v="0"/>
    <x v="0"/>
    <x v="19"/>
  </r>
  <r>
    <s v="ORD1244"/>
    <x v="0"/>
    <x v="0"/>
    <x v="2"/>
    <x v="2"/>
    <x v="192"/>
    <d v="2024-05-20T00:00:00"/>
    <d v="2023-04-17T00:00:00"/>
    <n v="54"/>
    <n v="306.95"/>
    <n v="835.45"/>
    <x v="0"/>
    <x v="0"/>
    <x v="0"/>
    <x v="29"/>
  </r>
  <r>
    <s v="ORD1245"/>
    <x v="1"/>
    <x v="2"/>
    <x v="2"/>
    <x v="2"/>
    <x v="7"/>
    <d v="2024-05-15T00:00:00"/>
    <d v="2023-09-11T00:00:00"/>
    <n v="184"/>
    <n v="159.88999999999999"/>
    <n v="1340.31"/>
    <x v="0"/>
    <x v="1"/>
    <x v="1"/>
    <x v="14"/>
  </r>
  <r>
    <s v="ORD1246"/>
    <x v="2"/>
    <x v="2"/>
    <x v="0"/>
    <x v="3"/>
    <x v="3"/>
    <d v="2024-07-27T00:00:00"/>
    <d v="2024-04-01T00:00:00"/>
    <n v="100"/>
    <n v="139.19"/>
    <n v="6603.68"/>
    <x v="1"/>
    <x v="3"/>
    <x v="1"/>
    <x v="6"/>
  </r>
  <r>
    <s v="ORD1247"/>
    <x v="2"/>
    <x v="1"/>
    <x v="0"/>
    <x v="1"/>
    <x v="193"/>
    <d v="2023-05-19T00:00:00"/>
    <d v="2024-06-07T00:00:00"/>
    <n v="109"/>
    <n v="300.85000000000002"/>
    <n v="2852.08"/>
    <x v="0"/>
    <x v="3"/>
    <x v="1"/>
    <x v="24"/>
  </r>
  <r>
    <s v="ORD1248"/>
    <x v="1"/>
    <x v="0"/>
    <x v="1"/>
    <x v="2"/>
    <x v="194"/>
    <d v="2023-02-20T00:00:00"/>
    <d v="2023-06-06T00:00:00"/>
    <n v="87"/>
    <n v="433.72"/>
    <n v="3264.12"/>
    <x v="0"/>
    <x v="3"/>
    <x v="0"/>
    <x v="24"/>
  </r>
  <r>
    <s v="ORD1249"/>
    <x v="0"/>
    <x v="2"/>
    <x v="0"/>
    <x v="1"/>
    <x v="195"/>
    <d v="2024-09-11T00:00:00"/>
    <d v="2023-06-27T00:00:00"/>
    <n v="173"/>
    <n v="473.63"/>
    <n v="4097.71"/>
    <x v="0"/>
    <x v="0"/>
    <x v="2"/>
    <x v="23"/>
  </r>
  <r>
    <s v="ORD1250"/>
    <x v="0"/>
    <x v="2"/>
    <x v="2"/>
    <x v="1"/>
    <x v="196"/>
    <d v="2024-09-17T00:00:00"/>
    <d v="2023-12-13T00:00:00"/>
    <n v="162"/>
    <n v="57.42"/>
    <n v="6170.53"/>
    <x v="2"/>
    <x v="1"/>
    <x v="1"/>
    <x v="22"/>
  </r>
  <r>
    <s v="ORD1251"/>
    <x v="1"/>
    <x v="0"/>
    <x v="2"/>
    <x v="1"/>
    <x v="93"/>
    <d v="2023-09-12T00:00:00"/>
    <d v="2024-11-04T00:00:00"/>
    <n v="137"/>
    <n v="81.64"/>
    <n v="7165.25"/>
    <x v="1"/>
    <x v="3"/>
    <x v="0"/>
    <x v="11"/>
  </r>
  <r>
    <s v="ORD1252"/>
    <x v="0"/>
    <x v="0"/>
    <x v="2"/>
    <x v="1"/>
    <x v="121"/>
    <d v="2024-09-22T00:00:00"/>
    <d v="2024-03-10T00:00:00"/>
    <n v="8"/>
    <n v="472.64"/>
    <n v="2534.21"/>
    <x v="0"/>
    <x v="3"/>
    <x v="0"/>
    <x v="12"/>
  </r>
  <r>
    <s v="ORD1253"/>
    <x v="1"/>
    <x v="0"/>
    <x v="2"/>
    <x v="1"/>
    <x v="197"/>
    <d v="2024-12-11T00:00:00"/>
    <d v="2024-12-31T00:00:00"/>
    <n v="7"/>
    <n v="369.58"/>
    <n v="5968.73"/>
    <x v="0"/>
    <x v="0"/>
    <x v="0"/>
    <x v="13"/>
  </r>
  <r>
    <s v="ORD1254"/>
    <x v="3"/>
    <x v="1"/>
    <x v="2"/>
    <x v="1"/>
    <x v="198"/>
    <d v="2024-07-17T00:00:00"/>
    <d v="2024-11-23T00:00:00"/>
    <n v="36"/>
    <n v="442.08"/>
    <n v="3715.05"/>
    <x v="1"/>
    <x v="0"/>
    <x v="0"/>
    <x v="23"/>
  </r>
  <r>
    <s v="ORD1255"/>
    <x v="1"/>
    <x v="0"/>
    <x v="2"/>
    <x v="1"/>
    <x v="199"/>
    <d v="2024-03-02T00:00:00"/>
    <d v="2024-11-21T00:00:00"/>
    <n v="18"/>
    <n v="105.3"/>
    <n v="5130.28"/>
    <x v="0"/>
    <x v="0"/>
    <x v="1"/>
    <x v="15"/>
  </r>
  <r>
    <s v="ORD1256"/>
    <x v="1"/>
    <x v="2"/>
    <x v="1"/>
    <x v="3"/>
    <x v="200"/>
    <d v="2024-07-01T00:00:00"/>
    <d v="2024-10-23T00:00:00"/>
    <n v="3"/>
    <n v="295.86"/>
    <n v="3753.12"/>
    <x v="2"/>
    <x v="0"/>
    <x v="1"/>
    <x v="26"/>
  </r>
  <r>
    <s v="ORD1257"/>
    <x v="0"/>
    <x v="0"/>
    <x v="2"/>
    <x v="2"/>
    <x v="2"/>
    <d v="2023-10-30T00:00:00"/>
    <d v="2023-11-24T00:00:00"/>
    <n v="28"/>
    <n v="352.06"/>
    <n v="6688.76"/>
    <x v="2"/>
    <x v="3"/>
    <x v="1"/>
    <x v="18"/>
  </r>
  <r>
    <s v="ORD1258"/>
    <x v="0"/>
    <x v="0"/>
    <x v="2"/>
    <x v="2"/>
    <x v="201"/>
    <d v="2024-08-04T00:00:00"/>
    <d v="2024-11-07T00:00:00"/>
    <n v="70"/>
    <n v="341.66"/>
    <n v="8628.92"/>
    <x v="2"/>
    <x v="2"/>
    <x v="0"/>
    <x v="10"/>
  </r>
  <r>
    <s v="ORD1259"/>
    <x v="2"/>
    <x v="0"/>
    <x v="2"/>
    <x v="2"/>
    <x v="202"/>
    <d v="2023-12-16T00:00:00"/>
    <d v="2024-10-04T00:00:00"/>
    <n v="172"/>
    <n v="207.04"/>
    <n v="4765.5200000000004"/>
    <x v="2"/>
    <x v="0"/>
    <x v="1"/>
    <x v="3"/>
  </r>
  <r>
    <s v="ORD1260"/>
    <x v="2"/>
    <x v="0"/>
    <x v="0"/>
    <x v="2"/>
    <x v="203"/>
    <d v="2023-02-19T00:00:00"/>
    <d v="2024-02-28T00:00:00"/>
    <n v="149"/>
    <n v="12.62"/>
    <n v="575.01"/>
    <x v="0"/>
    <x v="3"/>
    <x v="1"/>
    <x v="5"/>
  </r>
  <r>
    <s v="ORD1261"/>
    <x v="3"/>
    <x v="0"/>
    <x v="0"/>
    <x v="2"/>
    <x v="204"/>
    <d v="2023-03-16T00:00:00"/>
    <d v="2024-08-20T00:00:00"/>
    <n v="28"/>
    <n v="293.55"/>
    <n v="575.01"/>
    <x v="1"/>
    <x v="3"/>
    <x v="0"/>
    <x v="10"/>
  </r>
  <r>
    <s v="ORD1262"/>
    <x v="2"/>
    <x v="0"/>
    <x v="2"/>
    <x v="2"/>
    <x v="36"/>
    <d v="2024-12-05T00:00:00"/>
    <d v="2024-05-03T00:00:00"/>
    <n v="54"/>
    <n v="130.29"/>
    <n v="8178.89"/>
    <x v="0"/>
    <x v="3"/>
    <x v="2"/>
    <x v="10"/>
  </r>
  <r>
    <s v="ORD1263"/>
    <x v="1"/>
    <x v="2"/>
    <x v="0"/>
    <x v="2"/>
    <x v="205"/>
    <d v="2023-09-19T00:00:00"/>
    <d v="2024-10-24T00:00:00"/>
    <n v="182"/>
    <n v="227.88"/>
    <n v="7259.75"/>
    <x v="2"/>
    <x v="3"/>
    <x v="2"/>
    <x v="19"/>
  </r>
  <r>
    <s v="ORD1264"/>
    <x v="0"/>
    <x v="2"/>
    <x v="0"/>
    <x v="2"/>
    <x v="206"/>
    <d v="2023-12-23T00:00:00"/>
    <d v="2024-02-20T00:00:00"/>
    <n v="65"/>
    <n v="479"/>
    <n v="240.49"/>
    <x v="2"/>
    <x v="1"/>
    <x v="1"/>
    <x v="20"/>
  </r>
  <r>
    <s v="ORD1265"/>
    <x v="2"/>
    <x v="2"/>
    <x v="0"/>
    <x v="2"/>
    <x v="207"/>
    <d v="2024-08-05T00:00:00"/>
    <d v="2023-03-29T00:00:00"/>
    <n v="100"/>
    <n v="202.52"/>
    <n v="1303.72"/>
    <x v="2"/>
    <x v="1"/>
    <x v="1"/>
    <x v="8"/>
  </r>
  <r>
    <s v="ORD1266"/>
    <x v="2"/>
    <x v="2"/>
    <x v="2"/>
    <x v="2"/>
    <x v="208"/>
    <d v="2024-08-25T00:00:00"/>
    <d v="2023-04-27T00:00:00"/>
    <n v="21"/>
    <n v="420.7"/>
    <n v="4366.75"/>
    <x v="0"/>
    <x v="1"/>
    <x v="1"/>
    <x v="19"/>
  </r>
  <r>
    <s v="ORD1268"/>
    <x v="2"/>
    <x v="1"/>
    <x v="0"/>
    <x v="1"/>
    <x v="209"/>
    <d v="2024-09-30T00:00:00"/>
    <d v="2023-12-02T00:00:00"/>
    <n v="57"/>
    <n v="337.87"/>
    <n v="8244.34"/>
    <x v="0"/>
    <x v="2"/>
    <x v="0"/>
    <x v="20"/>
  </r>
  <r>
    <s v="ORD1269"/>
    <x v="3"/>
    <x v="1"/>
    <x v="2"/>
    <x v="0"/>
    <x v="71"/>
    <d v="2023-10-23T00:00:00"/>
    <d v="2024-01-17T00:00:00"/>
    <n v="49"/>
    <n v="488.62"/>
    <n v="3453.97"/>
    <x v="0"/>
    <x v="2"/>
    <x v="1"/>
    <x v="13"/>
  </r>
  <r>
    <s v="ORD1270"/>
    <x v="1"/>
    <x v="2"/>
    <x v="2"/>
    <x v="1"/>
    <x v="210"/>
    <d v="2024-10-03T00:00:00"/>
    <d v="2024-10-20T00:00:00"/>
    <n v="118"/>
    <n v="55.44"/>
    <n v="7263.81"/>
    <x v="2"/>
    <x v="0"/>
    <x v="1"/>
    <x v="25"/>
  </r>
  <r>
    <s v="ORD1271"/>
    <x v="0"/>
    <x v="0"/>
    <x v="1"/>
    <x v="0"/>
    <x v="121"/>
    <d v="2023-11-10T00:00:00"/>
    <d v="2023-02-14T00:00:00"/>
    <n v="54"/>
    <n v="9.1199999999999992"/>
    <n v="7515.14"/>
    <x v="2"/>
    <x v="0"/>
    <x v="0"/>
    <x v="19"/>
  </r>
  <r>
    <s v="ORD1272"/>
    <x v="3"/>
    <x v="0"/>
    <x v="0"/>
    <x v="0"/>
    <x v="211"/>
    <d v="2024-09-04T00:00:00"/>
    <d v="2023-04-19T00:00:00"/>
    <n v="138"/>
    <n v="219.62"/>
    <n v="2534.21"/>
    <x v="2"/>
    <x v="0"/>
    <x v="0"/>
    <x v="5"/>
  </r>
  <r>
    <s v="ORD1273"/>
    <x v="2"/>
    <x v="0"/>
    <x v="1"/>
    <x v="0"/>
    <x v="175"/>
    <d v="2023-07-02T00:00:00"/>
    <d v="2023-07-25T00:00:00"/>
    <n v="53"/>
    <n v="50.85"/>
    <n v="9988.98"/>
    <x v="2"/>
    <x v="3"/>
    <x v="2"/>
    <x v="16"/>
  </r>
  <r>
    <s v="ORD1274"/>
    <x v="0"/>
    <x v="0"/>
    <x v="2"/>
    <x v="1"/>
    <x v="107"/>
    <d v="2024-11-17T00:00:00"/>
    <d v="2024-03-29T00:00:00"/>
    <n v="44"/>
    <n v="375.45"/>
    <n v="8532.85"/>
    <x v="0"/>
    <x v="3"/>
    <x v="1"/>
    <x v="29"/>
  </r>
  <r>
    <s v="ORD1275"/>
    <x v="0"/>
    <x v="2"/>
    <x v="0"/>
    <x v="1"/>
    <x v="212"/>
    <d v="2023-12-31T00:00:00"/>
    <d v="2023-09-27T00:00:00"/>
    <n v="47"/>
    <n v="457.7"/>
    <n v="9110.5300000000007"/>
    <x v="0"/>
    <x v="0"/>
    <x v="1"/>
    <x v="20"/>
  </r>
  <r>
    <s v="ORD1276"/>
    <x v="2"/>
    <x v="2"/>
    <x v="0"/>
    <x v="1"/>
    <x v="213"/>
    <d v="2023-07-08T00:00:00"/>
    <d v="2023-08-02T00:00:00"/>
    <n v="53"/>
    <n v="219.84"/>
    <n v="9901.58"/>
    <x v="0"/>
    <x v="0"/>
    <x v="1"/>
    <x v="26"/>
  </r>
  <r>
    <s v="ORD1277"/>
    <x v="3"/>
    <x v="2"/>
    <x v="0"/>
    <x v="1"/>
    <x v="17"/>
    <d v="2024-07-23T00:00:00"/>
    <d v="2024-07-20T00:00:00"/>
    <n v="74"/>
    <n v="133.06"/>
    <n v="6159"/>
    <x v="1"/>
    <x v="1"/>
    <x v="0"/>
    <x v="7"/>
  </r>
  <r>
    <s v="ORD1278"/>
    <x v="2"/>
    <x v="2"/>
    <x v="0"/>
    <x v="2"/>
    <x v="214"/>
    <d v="2024-06-27T00:00:00"/>
    <d v="2023-05-02T00:00:00"/>
    <n v="46"/>
    <n v="220.03"/>
    <n v="8409.08"/>
    <x v="0"/>
    <x v="1"/>
    <x v="0"/>
    <x v="19"/>
  </r>
  <r>
    <s v="ORD1279"/>
    <x v="2"/>
    <x v="0"/>
    <x v="2"/>
    <x v="3"/>
    <x v="215"/>
    <d v="2024-08-19T00:00:00"/>
    <d v="2024-12-17T00:00:00"/>
    <n v="13"/>
    <n v="363.11"/>
    <n v="5028.58"/>
    <x v="0"/>
    <x v="0"/>
    <x v="0"/>
    <x v="9"/>
  </r>
  <r>
    <s v="ORD1280"/>
    <x v="0"/>
    <x v="0"/>
    <x v="2"/>
    <x v="2"/>
    <x v="216"/>
    <d v="2024-10-26T00:00:00"/>
    <d v="2024-01-16T00:00:00"/>
    <n v="165"/>
    <n v="9.48"/>
    <n v="2998.76"/>
    <x v="2"/>
    <x v="3"/>
    <x v="0"/>
    <x v="4"/>
  </r>
  <r>
    <s v="ORD1281"/>
    <x v="0"/>
    <x v="1"/>
    <x v="0"/>
    <x v="3"/>
    <x v="155"/>
    <d v="2024-07-02T00:00:00"/>
    <d v="2024-07-08T00:00:00"/>
    <n v="102"/>
    <n v="296.77999999999997"/>
    <n v="9088.92"/>
    <x v="1"/>
    <x v="3"/>
    <x v="0"/>
    <x v="15"/>
  </r>
  <r>
    <s v="ORD1282"/>
    <x v="0"/>
    <x v="1"/>
    <x v="2"/>
    <x v="3"/>
    <x v="8"/>
    <d v="2024-12-26T00:00:00"/>
    <d v="2024-06-27T00:00:00"/>
    <n v="24"/>
    <n v="308.58"/>
    <n v="7524.21"/>
    <x v="0"/>
    <x v="3"/>
    <x v="1"/>
    <x v="5"/>
  </r>
  <r>
    <s v="ORD1283"/>
    <x v="1"/>
    <x v="1"/>
    <x v="2"/>
    <x v="3"/>
    <x v="217"/>
    <d v="2024-02-13T00:00:00"/>
    <d v="2023-03-29T00:00:00"/>
    <n v="2"/>
    <n v="320.66000000000003"/>
    <n v="9700.77"/>
    <x v="0"/>
    <x v="3"/>
    <x v="2"/>
    <x v="7"/>
  </r>
  <r>
    <s v="ORD1284"/>
    <x v="2"/>
    <x v="1"/>
    <x v="0"/>
    <x v="3"/>
    <x v="218"/>
    <d v="2024-09-10T00:00:00"/>
    <d v="2024-04-02T00:00:00"/>
    <n v="81"/>
    <n v="124.8"/>
    <n v="8076.32"/>
    <x v="0"/>
    <x v="1"/>
    <x v="1"/>
    <x v="28"/>
  </r>
  <r>
    <s v="ORD1285"/>
    <x v="2"/>
    <x v="1"/>
    <x v="2"/>
    <x v="0"/>
    <x v="219"/>
    <d v="2024-02-19T00:00:00"/>
    <d v="2024-11-01T00:00:00"/>
    <n v="100"/>
    <n v="358.46"/>
    <n v="2527.64"/>
    <x v="1"/>
    <x v="2"/>
    <x v="2"/>
    <x v="28"/>
  </r>
  <r>
    <s v="ORD1286"/>
    <x v="1"/>
    <x v="2"/>
    <x v="2"/>
    <x v="0"/>
    <x v="220"/>
    <d v="2023-12-09T00:00:00"/>
    <d v="2024-09-24T00:00:00"/>
    <n v="142"/>
    <n v="50.24"/>
    <n v="2004.37"/>
    <x v="1"/>
    <x v="3"/>
    <x v="2"/>
    <x v="0"/>
  </r>
  <r>
    <s v="ORD1287"/>
    <x v="1"/>
    <x v="2"/>
    <x v="0"/>
    <x v="3"/>
    <x v="11"/>
    <d v="2023-08-09T00:00:00"/>
    <d v="2024-06-01T00:00:00"/>
    <n v="138"/>
    <n v="103.64"/>
    <n v="3886.7"/>
    <x v="0"/>
    <x v="3"/>
    <x v="1"/>
    <x v="25"/>
  </r>
  <r>
    <s v="ORD1288"/>
    <x v="1"/>
    <x v="1"/>
    <x v="1"/>
    <x v="3"/>
    <x v="221"/>
    <d v="2023-06-13T00:00:00"/>
    <d v="2024-08-31T00:00:00"/>
    <n v="163"/>
    <n v="439.35"/>
    <n v="2382.5300000000002"/>
    <x v="0"/>
    <x v="3"/>
    <x v="2"/>
    <x v="21"/>
  </r>
  <r>
    <s v="ORD1289"/>
    <x v="0"/>
    <x v="1"/>
    <x v="0"/>
    <x v="3"/>
    <x v="222"/>
    <d v="2023-08-09T00:00:00"/>
    <d v="2024-11-12T00:00:00"/>
    <n v="153"/>
    <n v="370.67"/>
    <n v="6801.07"/>
    <x v="0"/>
    <x v="3"/>
    <x v="0"/>
    <x v="23"/>
  </r>
  <r>
    <s v="ORD1290"/>
    <x v="2"/>
    <x v="0"/>
    <x v="1"/>
    <x v="2"/>
    <x v="223"/>
    <d v="2023-09-28T00:00:00"/>
    <d v="2024-01-26T00:00:00"/>
    <n v="131"/>
    <n v="11.8"/>
    <n v="1887.09"/>
    <x v="1"/>
    <x v="0"/>
    <x v="0"/>
    <x v="5"/>
  </r>
  <r>
    <s v="ORD1291"/>
    <x v="2"/>
    <x v="0"/>
    <x v="1"/>
    <x v="2"/>
    <x v="224"/>
    <d v="2024-09-24T00:00:00"/>
    <d v="2023-12-20T00:00:00"/>
    <n v="111"/>
    <n v="127.95"/>
    <n v="6685.13"/>
    <x v="1"/>
    <x v="3"/>
    <x v="1"/>
    <x v="23"/>
  </r>
  <r>
    <s v="ORD1292"/>
    <x v="0"/>
    <x v="0"/>
    <x v="0"/>
    <x v="2"/>
    <x v="74"/>
    <d v="2024-02-05T00:00:00"/>
    <d v="2023-10-27T00:00:00"/>
    <n v="102"/>
    <n v="111.13"/>
    <n v="2565.94"/>
    <x v="1"/>
    <x v="0"/>
    <x v="0"/>
    <x v="29"/>
  </r>
  <r>
    <s v="ORD1293"/>
    <x v="1"/>
    <x v="2"/>
    <x v="1"/>
    <x v="0"/>
    <x v="225"/>
    <d v="2023-07-02T00:00:00"/>
    <d v="2023-09-19T00:00:00"/>
    <n v="17"/>
    <n v="139.05000000000001"/>
    <n v="7403.72"/>
    <x v="0"/>
    <x v="3"/>
    <x v="0"/>
    <x v="13"/>
  </r>
  <r>
    <s v="ORD1294"/>
    <x v="2"/>
    <x v="0"/>
    <x v="2"/>
    <x v="1"/>
    <x v="226"/>
    <d v="2024-09-10T00:00:00"/>
    <d v="2023-03-26T00:00:00"/>
    <n v="12"/>
    <n v="127.54"/>
    <n v="5991.7"/>
    <x v="0"/>
    <x v="2"/>
    <x v="1"/>
    <x v="16"/>
  </r>
  <r>
    <s v="ORD1295"/>
    <x v="0"/>
    <x v="0"/>
    <x v="2"/>
    <x v="3"/>
    <x v="227"/>
    <d v="2024-12-30T00:00:00"/>
    <d v="2023-09-29T00:00:00"/>
    <n v="182"/>
    <n v="35.950000000000003"/>
    <n v="6694.22"/>
    <x v="2"/>
    <x v="1"/>
    <x v="0"/>
    <x v="13"/>
  </r>
  <r>
    <s v="ORD1296"/>
    <x v="2"/>
    <x v="0"/>
    <x v="2"/>
    <x v="2"/>
    <x v="193"/>
    <d v="2023-07-25T00:00:00"/>
    <d v="2024-02-27T00:00:00"/>
    <n v="116"/>
    <n v="232.18"/>
    <n v="4857.6499999999996"/>
    <x v="1"/>
    <x v="0"/>
    <x v="1"/>
    <x v="17"/>
  </r>
  <r>
    <s v="ORD1297"/>
    <x v="0"/>
    <x v="0"/>
    <x v="1"/>
    <x v="2"/>
    <x v="228"/>
    <d v="2024-08-05T00:00:00"/>
    <d v="2023-08-27T00:00:00"/>
    <n v="24"/>
    <n v="367.7"/>
    <n v="6961.68"/>
    <x v="1"/>
    <x v="0"/>
    <x v="1"/>
    <x v="9"/>
  </r>
  <r>
    <s v="ORD1298"/>
    <x v="2"/>
    <x v="1"/>
    <x v="1"/>
    <x v="0"/>
    <x v="149"/>
    <d v="2024-07-10T00:00:00"/>
    <d v="2023-11-11T00:00:00"/>
    <n v="29"/>
    <n v="305.33"/>
    <n v="1606.94"/>
    <x v="0"/>
    <x v="2"/>
    <x v="2"/>
    <x v="0"/>
  </r>
  <r>
    <s v="ORD1299"/>
    <x v="1"/>
    <x v="2"/>
    <x v="0"/>
    <x v="2"/>
    <x v="212"/>
    <d v="2023-08-17T00:00:00"/>
    <d v="2023-12-27T00:00:00"/>
    <n v="171"/>
    <n v="338.07"/>
    <n v="6685.13"/>
    <x v="0"/>
    <x v="3"/>
    <x v="2"/>
    <x v="7"/>
  </r>
  <r>
    <s v="ORD1300"/>
    <x v="2"/>
    <x v="2"/>
    <x v="0"/>
    <x v="2"/>
    <x v="47"/>
    <d v="2024-11-27T00:00:00"/>
    <d v="2023-08-05T00:00:00"/>
    <n v="153"/>
    <n v="45.17"/>
    <n v="4951.0600000000004"/>
    <x v="1"/>
    <x v="0"/>
    <x v="2"/>
    <x v="29"/>
  </r>
  <r>
    <s v="ORD1301"/>
    <x v="2"/>
    <x v="2"/>
    <x v="1"/>
    <x v="3"/>
    <x v="181"/>
    <d v="2024-09-11T00:00:00"/>
    <d v="2024-07-31T00:00:00"/>
    <n v="122"/>
    <n v="475.99"/>
    <n v="718.98"/>
    <x v="0"/>
    <x v="3"/>
    <x v="2"/>
    <x v="19"/>
  </r>
  <r>
    <s v="ORD1302"/>
    <x v="1"/>
    <x v="1"/>
    <x v="1"/>
    <x v="3"/>
    <x v="229"/>
    <d v="2024-08-19T00:00:00"/>
    <d v="2023-02-22T00:00:00"/>
    <n v="188"/>
    <n v="420.05"/>
    <n v="3209.62"/>
    <x v="1"/>
    <x v="3"/>
    <x v="1"/>
    <x v="26"/>
  </r>
  <r>
    <s v="ORD1303"/>
    <x v="2"/>
    <x v="1"/>
    <x v="2"/>
    <x v="1"/>
    <x v="230"/>
    <d v="2023-09-08T00:00:00"/>
    <d v="2023-05-11T00:00:00"/>
    <n v="90"/>
    <n v="403.52"/>
    <n v="7969.47"/>
    <x v="0"/>
    <x v="3"/>
    <x v="2"/>
    <x v="6"/>
  </r>
  <r>
    <s v="ORD1304"/>
    <x v="2"/>
    <x v="1"/>
    <x v="2"/>
    <x v="1"/>
    <x v="231"/>
    <d v="2024-03-17T00:00:00"/>
    <d v="2023-08-15T00:00:00"/>
    <n v="65"/>
    <n v="412.38"/>
    <n v="6604.24"/>
    <x v="0"/>
    <x v="1"/>
    <x v="1"/>
    <x v="13"/>
  </r>
  <r>
    <s v="ORD1305"/>
    <x v="3"/>
    <x v="1"/>
    <x v="0"/>
    <x v="1"/>
    <x v="232"/>
    <d v="2024-06-17T00:00:00"/>
    <d v="2023-10-10T00:00:00"/>
    <n v="84"/>
    <n v="466.69"/>
    <n v="8909.57"/>
    <x v="2"/>
    <x v="1"/>
    <x v="1"/>
    <x v="16"/>
  </r>
  <r>
    <s v="ORD1306"/>
    <x v="2"/>
    <x v="2"/>
    <x v="2"/>
    <x v="0"/>
    <x v="198"/>
    <d v="2023-07-16T00:00:00"/>
    <d v="2024-02-16T00:00:00"/>
    <n v="119"/>
    <n v="274.41000000000003"/>
    <n v="4008.76"/>
    <x v="0"/>
    <x v="1"/>
    <x v="0"/>
    <x v="8"/>
  </r>
  <r>
    <s v="ORD1307"/>
    <x v="3"/>
    <x v="2"/>
    <x v="0"/>
    <x v="2"/>
    <x v="233"/>
    <d v="2024-11-21T00:00:00"/>
    <d v="2024-05-23T00:00:00"/>
    <n v="156"/>
    <n v="104.14"/>
    <n v="3162.14"/>
    <x v="0"/>
    <x v="0"/>
    <x v="1"/>
    <x v="16"/>
  </r>
  <r>
    <s v="ORD1309"/>
    <x v="2"/>
    <x v="1"/>
    <x v="1"/>
    <x v="0"/>
    <x v="234"/>
    <d v="2023-03-12T00:00:00"/>
    <d v="2023-10-08T00:00:00"/>
    <n v="175"/>
    <n v="372.73"/>
    <n v="7969.47"/>
    <x v="0"/>
    <x v="2"/>
    <x v="0"/>
    <x v="27"/>
  </r>
  <r>
    <s v="ORD1310"/>
    <x v="1"/>
    <x v="0"/>
    <x v="1"/>
    <x v="3"/>
    <x v="235"/>
    <d v="2024-10-01T00:00:00"/>
    <d v="2024-03-17T00:00:00"/>
    <n v="104"/>
    <n v="370.27"/>
    <n v="5734.04"/>
    <x v="0"/>
    <x v="2"/>
    <x v="0"/>
    <x v="27"/>
  </r>
  <r>
    <s v="ORD1311"/>
    <x v="1"/>
    <x v="0"/>
    <x v="0"/>
    <x v="1"/>
    <x v="34"/>
    <d v="2024-02-04T00:00:00"/>
    <d v="2023-04-21T00:00:00"/>
    <n v="92"/>
    <n v="263.12"/>
    <n v="9812.1200000000008"/>
    <x v="2"/>
    <x v="3"/>
    <x v="1"/>
    <x v="24"/>
  </r>
  <r>
    <s v="ORD1312"/>
    <x v="2"/>
    <x v="0"/>
    <x v="1"/>
    <x v="1"/>
    <x v="236"/>
    <d v="2024-11-03T00:00:00"/>
    <d v="2024-10-23T00:00:00"/>
    <n v="186"/>
    <n v="38.89"/>
    <n v="2846.45"/>
    <x v="1"/>
    <x v="1"/>
    <x v="0"/>
    <x v="24"/>
  </r>
  <r>
    <s v="ORD1313"/>
    <x v="0"/>
    <x v="1"/>
    <x v="0"/>
    <x v="1"/>
    <x v="237"/>
    <d v="2023-07-23T00:00:00"/>
    <d v="2024-02-28T00:00:00"/>
    <n v="27"/>
    <n v="188.7"/>
    <n v="8036.27"/>
    <x v="1"/>
    <x v="0"/>
    <x v="0"/>
    <x v="20"/>
  </r>
  <r>
    <s v="ORD1314"/>
    <x v="2"/>
    <x v="2"/>
    <x v="1"/>
    <x v="0"/>
    <x v="238"/>
    <d v="2023-05-29T00:00:00"/>
    <d v="2024-09-06T00:00:00"/>
    <n v="181"/>
    <n v="460.78"/>
    <n v="9988.98"/>
    <x v="0"/>
    <x v="3"/>
    <x v="0"/>
    <x v="0"/>
  </r>
  <r>
    <s v="ORD1315"/>
    <x v="0"/>
    <x v="0"/>
    <x v="1"/>
    <x v="3"/>
    <x v="93"/>
    <d v="2024-04-17T00:00:00"/>
    <d v="2024-03-08T00:00:00"/>
    <n v="170"/>
    <n v="294.3"/>
    <n v="6264.91"/>
    <x v="0"/>
    <x v="1"/>
    <x v="1"/>
    <x v="27"/>
  </r>
  <r>
    <s v="ORD1316"/>
    <x v="2"/>
    <x v="0"/>
    <x v="1"/>
    <x v="2"/>
    <x v="239"/>
    <d v="2024-10-17T00:00:00"/>
    <d v="2024-01-14T00:00:00"/>
    <n v="187"/>
    <n v="271.47000000000003"/>
    <n v="9048.3799999999992"/>
    <x v="0"/>
    <x v="1"/>
    <x v="1"/>
    <x v="12"/>
  </r>
  <r>
    <s v="ORD1317"/>
    <x v="2"/>
    <x v="0"/>
    <x v="2"/>
    <x v="2"/>
    <x v="240"/>
    <d v="2023-07-19T00:00:00"/>
    <d v="2023-03-18T00:00:00"/>
    <n v="175"/>
    <n v="138.08000000000001"/>
    <n v="5382.55"/>
    <x v="1"/>
    <x v="0"/>
    <x v="1"/>
    <x v="19"/>
  </r>
  <r>
    <s v="ORD1318"/>
    <x v="2"/>
    <x v="0"/>
    <x v="0"/>
    <x v="2"/>
    <x v="179"/>
    <d v="2024-03-02T00:00:00"/>
    <d v="2024-09-29T00:00:00"/>
    <n v="162"/>
    <n v="187.38"/>
    <n v="664.99"/>
    <x v="2"/>
    <x v="0"/>
    <x v="1"/>
    <x v="12"/>
  </r>
  <r>
    <s v="ORD1319"/>
    <x v="0"/>
    <x v="1"/>
    <x v="2"/>
    <x v="0"/>
    <x v="241"/>
    <d v="2024-10-28T00:00:00"/>
    <d v="2023-02-03T00:00:00"/>
    <n v="165"/>
    <n v="448.2"/>
    <n v="2336.7800000000002"/>
    <x v="2"/>
    <x v="0"/>
    <x v="0"/>
    <x v="22"/>
  </r>
  <r>
    <s v="ORD1320"/>
    <x v="1"/>
    <x v="0"/>
    <x v="2"/>
    <x v="0"/>
    <x v="242"/>
    <d v="2024-05-07T00:00:00"/>
    <d v="2023-07-11T00:00:00"/>
    <n v="134"/>
    <n v="334.9"/>
    <n v="8019.76"/>
    <x v="1"/>
    <x v="3"/>
    <x v="0"/>
    <x v="4"/>
  </r>
  <r>
    <s v="ORD1321"/>
    <x v="2"/>
    <x v="1"/>
    <x v="2"/>
    <x v="1"/>
    <x v="169"/>
    <d v="2023-05-23T00:00:00"/>
    <d v="2024-01-03T00:00:00"/>
    <n v="135"/>
    <n v="394.76"/>
    <n v="8456.4699999999993"/>
    <x v="0"/>
    <x v="3"/>
    <x v="0"/>
    <x v="5"/>
  </r>
  <r>
    <s v="ORD1322"/>
    <x v="2"/>
    <x v="0"/>
    <x v="0"/>
    <x v="1"/>
    <x v="79"/>
    <d v="2023-11-10T00:00:00"/>
    <d v="2024-03-30T00:00:00"/>
    <n v="153"/>
    <n v="229.9"/>
    <n v="4799.6400000000003"/>
    <x v="1"/>
    <x v="0"/>
    <x v="2"/>
    <x v="17"/>
  </r>
  <r>
    <s v="ORD1323"/>
    <x v="0"/>
    <x v="0"/>
    <x v="0"/>
    <x v="0"/>
    <x v="243"/>
    <d v="2023-06-15T00:00:00"/>
    <d v="2023-07-18T00:00:00"/>
    <n v="33"/>
    <n v="316.97000000000003"/>
    <n v="9735.16"/>
    <x v="1"/>
    <x v="0"/>
    <x v="2"/>
    <x v="18"/>
  </r>
  <r>
    <s v="ORD1324"/>
    <x v="1"/>
    <x v="0"/>
    <x v="0"/>
    <x v="0"/>
    <x v="244"/>
    <d v="2023-11-11T00:00:00"/>
    <d v="2023-06-09T00:00:00"/>
    <n v="55"/>
    <n v="127.95"/>
    <n v="4574.91"/>
    <x v="0"/>
    <x v="3"/>
    <x v="2"/>
    <x v="29"/>
  </r>
  <r>
    <s v="ORD1325"/>
    <x v="1"/>
    <x v="0"/>
    <x v="0"/>
    <x v="3"/>
    <x v="220"/>
    <d v="2023-01-22T00:00:00"/>
    <d v="2023-06-25T00:00:00"/>
    <n v="186"/>
    <n v="354.2"/>
    <n v="2810.77"/>
    <x v="0"/>
    <x v="3"/>
    <x v="2"/>
    <x v="15"/>
  </r>
  <r>
    <s v="ORD1326"/>
    <x v="2"/>
    <x v="1"/>
    <x v="0"/>
    <x v="2"/>
    <x v="182"/>
    <d v="2023-03-24T00:00:00"/>
    <d v="2023-02-14T00:00:00"/>
    <n v="7"/>
    <n v="216.66"/>
    <n v="1792.48"/>
    <x v="2"/>
    <x v="2"/>
    <x v="1"/>
    <x v="20"/>
  </r>
  <r>
    <s v="ORD1327"/>
    <x v="2"/>
    <x v="1"/>
    <x v="0"/>
    <x v="0"/>
    <x v="227"/>
    <d v="2024-08-04T00:00:00"/>
    <d v="2023-03-08T00:00:00"/>
    <n v="57"/>
    <n v="224.06"/>
    <n v="1472.86"/>
    <x v="1"/>
    <x v="2"/>
    <x v="0"/>
    <x v="5"/>
  </r>
  <r>
    <s v="ORD1328"/>
    <x v="2"/>
    <x v="1"/>
    <x v="1"/>
    <x v="0"/>
    <x v="245"/>
    <d v="2023-05-12T00:00:00"/>
    <d v="2023-01-27T00:00:00"/>
    <n v="126"/>
    <n v="326.41000000000003"/>
    <n v="4717.62"/>
    <x v="2"/>
    <x v="0"/>
    <x v="0"/>
    <x v="18"/>
  </r>
  <r>
    <s v="ORD1329"/>
    <x v="2"/>
    <x v="1"/>
    <x v="2"/>
    <x v="1"/>
    <x v="246"/>
    <d v="2024-08-22T00:00:00"/>
    <d v="2023-12-30T00:00:00"/>
    <n v="12"/>
    <n v="468.46"/>
    <n v="9289.8700000000008"/>
    <x v="0"/>
    <x v="3"/>
    <x v="0"/>
    <x v="4"/>
  </r>
  <r>
    <s v="ORD1330"/>
    <x v="2"/>
    <x v="2"/>
    <x v="0"/>
    <x v="1"/>
    <x v="247"/>
    <d v="2024-12-31T00:00:00"/>
    <d v="2023-03-20T00:00:00"/>
    <n v="16"/>
    <n v="36.68"/>
    <n v="1483.58"/>
    <x v="2"/>
    <x v="0"/>
    <x v="1"/>
    <x v="11"/>
  </r>
  <r>
    <s v="ORD1331"/>
    <x v="2"/>
    <x v="2"/>
    <x v="1"/>
    <x v="1"/>
    <x v="248"/>
    <d v="2023-11-02T00:00:00"/>
    <d v="2024-07-17T00:00:00"/>
    <n v="43"/>
    <n v="413.25"/>
    <n v="3453.97"/>
    <x v="1"/>
    <x v="0"/>
    <x v="1"/>
    <x v="13"/>
  </r>
  <r>
    <s v="ORD1332"/>
    <x v="2"/>
    <x v="2"/>
    <x v="1"/>
    <x v="1"/>
    <x v="249"/>
    <d v="2024-01-07T00:00:00"/>
    <d v="2024-11-06T00:00:00"/>
    <n v="117"/>
    <n v="149.72999999999999"/>
    <n v="1887.09"/>
    <x v="0"/>
    <x v="3"/>
    <x v="1"/>
    <x v="0"/>
  </r>
  <r>
    <s v="ORD1333"/>
    <x v="1"/>
    <x v="2"/>
    <x v="2"/>
    <x v="3"/>
    <x v="250"/>
    <d v="2024-01-20T00:00:00"/>
    <d v="2023-05-02T00:00:00"/>
    <n v="135"/>
    <n v="224.74"/>
    <n v="5337.98"/>
    <x v="0"/>
    <x v="3"/>
    <x v="0"/>
    <x v="8"/>
  </r>
  <r>
    <s v="ORD1335"/>
    <x v="1"/>
    <x v="2"/>
    <x v="0"/>
    <x v="1"/>
    <x v="251"/>
    <d v="2024-03-01T00:00:00"/>
    <d v="2024-01-19T00:00:00"/>
    <n v="51"/>
    <n v="154.02000000000001"/>
    <n v="4666.62"/>
    <x v="0"/>
    <x v="1"/>
    <x v="0"/>
    <x v="20"/>
  </r>
  <r>
    <s v="ORD1337"/>
    <x v="3"/>
    <x v="2"/>
    <x v="1"/>
    <x v="2"/>
    <x v="252"/>
    <d v="2023-06-28T00:00:00"/>
    <d v="2023-10-21T00:00:00"/>
    <n v="160"/>
    <n v="32.81"/>
    <n v="2062.4299999999998"/>
    <x v="0"/>
    <x v="0"/>
    <x v="0"/>
    <x v="21"/>
  </r>
  <r>
    <s v="ORD1338"/>
    <x v="3"/>
    <x v="0"/>
    <x v="2"/>
    <x v="1"/>
    <x v="26"/>
    <d v="2024-09-21T00:00:00"/>
    <d v="2024-03-19T00:00:00"/>
    <n v="75"/>
    <n v="248.09"/>
    <n v="3264.12"/>
    <x v="1"/>
    <x v="0"/>
    <x v="0"/>
    <x v="17"/>
  </r>
  <r>
    <s v="ORD1339"/>
    <x v="2"/>
    <x v="2"/>
    <x v="0"/>
    <x v="3"/>
    <x v="253"/>
    <d v="2024-12-09T00:00:00"/>
    <d v="2024-11-02T00:00:00"/>
    <n v="8"/>
    <n v="463.92"/>
    <n v="6088.13"/>
    <x v="0"/>
    <x v="0"/>
    <x v="2"/>
    <x v="0"/>
  </r>
  <r>
    <s v="ORD1340"/>
    <x v="2"/>
    <x v="2"/>
    <x v="1"/>
    <x v="1"/>
    <x v="143"/>
    <d v="2024-05-05T00:00:00"/>
    <d v="2023-01-11T00:00:00"/>
    <m/>
    <n v="57.17"/>
    <n v="5095.24"/>
    <x v="0"/>
    <x v="3"/>
    <x v="0"/>
    <x v="1"/>
  </r>
  <r>
    <s v="ORD1341"/>
    <x v="0"/>
    <x v="2"/>
    <x v="1"/>
    <x v="3"/>
    <x v="254"/>
    <d v="2023-11-24T00:00:00"/>
    <d v="2023-07-19T00:00:00"/>
    <n v="45"/>
    <n v="383.4"/>
    <n v="448.59"/>
    <x v="2"/>
    <x v="1"/>
    <x v="1"/>
    <x v="18"/>
  </r>
  <r>
    <s v="ORD1342"/>
    <x v="2"/>
    <x v="2"/>
    <x v="0"/>
    <x v="3"/>
    <x v="255"/>
    <d v="2024-08-21T00:00:00"/>
    <d v="2024-02-29T00:00:00"/>
    <n v="59"/>
    <n v="207.79"/>
    <n v="4693.6000000000004"/>
    <x v="2"/>
    <x v="3"/>
    <x v="0"/>
    <x v="13"/>
  </r>
  <r>
    <s v="ORD1343"/>
    <x v="2"/>
    <x v="1"/>
    <x v="1"/>
    <x v="3"/>
    <x v="77"/>
    <d v="2023-10-17T00:00:00"/>
    <d v="2024-07-25T00:00:00"/>
    <n v="132"/>
    <n v="329.31"/>
    <n v="1472.86"/>
    <x v="0"/>
    <x v="1"/>
    <x v="0"/>
    <x v="15"/>
  </r>
  <r>
    <s v="ORD1344"/>
    <x v="0"/>
    <x v="1"/>
    <x v="1"/>
    <x v="3"/>
    <x v="33"/>
    <d v="2024-08-16T00:00:00"/>
    <d v="2023-07-16T00:00:00"/>
    <n v="104"/>
    <n v="133.82"/>
    <n v="8389.64"/>
    <x v="0"/>
    <x v="0"/>
    <x v="0"/>
    <x v="18"/>
  </r>
  <r>
    <s v="ORD1345"/>
    <x v="0"/>
    <x v="1"/>
    <x v="0"/>
    <x v="3"/>
    <x v="256"/>
    <d v="2024-10-26T00:00:00"/>
    <d v="2024-07-16T00:00:00"/>
    <n v="195"/>
    <n v="83.95"/>
    <n v="2892.79"/>
    <x v="2"/>
    <x v="2"/>
    <x v="0"/>
    <x v="21"/>
  </r>
  <r>
    <s v="ORD1346"/>
    <x v="1"/>
    <x v="2"/>
    <x v="0"/>
    <x v="3"/>
    <x v="247"/>
    <d v="2024-07-27T00:00:00"/>
    <d v="2023-06-01T00:00:00"/>
    <n v="157"/>
    <n v="84.43"/>
    <n v="8284.15"/>
    <x v="0"/>
    <x v="2"/>
    <x v="0"/>
    <x v="27"/>
  </r>
  <r>
    <s v="ORD1347"/>
    <x v="0"/>
    <x v="2"/>
    <x v="0"/>
    <x v="2"/>
    <x v="257"/>
    <d v="2024-07-27T00:00:00"/>
    <d v="2024-11-03T00:00:00"/>
    <n v="157"/>
    <n v="39.89"/>
    <n v="1587.2"/>
    <x v="0"/>
    <x v="2"/>
    <x v="0"/>
    <x v="27"/>
  </r>
  <r>
    <s v="ORD1348"/>
    <x v="1"/>
    <x v="2"/>
    <x v="2"/>
    <x v="1"/>
    <x v="128"/>
    <d v="2023-12-21T00:00:00"/>
    <d v="2023-07-25T00:00:00"/>
    <n v="98"/>
    <n v="96.9"/>
    <n v="891.43"/>
    <x v="1"/>
    <x v="0"/>
    <x v="0"/>
    <x v="15"/>
  </r>
  <r>
    <s v="ORD1349"/>
    <x v="2"/>
    <x v="2"/>
    <x v="0"/>
    <x v="0"/>
    <x v="258"/>
    <d v="2023-01-29T00:00:00"/>
    <d v="2024-03-23T00:00:00"/>
    <n v="156"/>
    <n v="333.79"/>
    <n v="7077.15"/>
    <x v="1"/>
    <x v="3"/>
    <x v="2"/>
    <x v="10"/>
  </r>
  <r>
    <s v="ORD1350"/>
    <x v="2"/>
    <x v="1"/>
    <x v="0"/>
    <x v="1"/>
    <x v="198"/>
    <d v="2023-02-13T00:00:00"/>
    <d v="2024-02-27T00:00:00"/>
    <n v="79"/>
    <n v="441.44"/>
    <n v="4494.8100000000004"/>
    <x v="1"/>
    <x v="2"/>
    <x v="2"/>
    <x v="8"/>
  </r>
  <r>
    <s v="ORD1351"/>
    <x v="0"/>
    <x v="1"/>
    <x v="0"/>
    <x v="3"/>
    <x v="259"/>
    <d v="2024-11-12T00:00:00"/>
    <d v="2024-03-06T00:00:00"/>
    <n v="124"/>
    <n v="407.99"/>
    <n v="8047.86"/>
    <x v="1"/>
    <x v="1"/>
    <x v="2"/>
    <x v="2"/>
  </r>
  <r>
    <s v="ORD1352"/>
    <x v="0"/>
    <x v="1"/>
    <x v="1"/>
    <x v="2"/>
    <x v="260"/>
    <d v="2024-02-28T00:00:00"/>
    <d v="2024-04-27T00:00:00"/>
    <n v="172"/>
    <n v="344.14"/>
    <n v="3753.12"/>
    <x v="1"/>
    <x v="0"/>
    <x v="0"/>
    <x v="22"/>
  </r>
  <r>
    <s v="ORD1353"/>
    <x v="2"/>
    <x v="1"/>
    <x v="1"/>
    <x v="1"/>
    <x v="261"/>
    <d v="2024-08-21T00:00:00"/>
    <d v="2024-04-23T00:00:00"/>
    <n v="4"/>
    <n v="59.66"/>
    <n v="6116.49"/>
    <x v="2"/>
    <x v="2"/>
    <x v="0"/>
    <x v="24"/>
  </r>
  <r>
    <s v="ORD1354"/>
    <x v="2"/>
    <x v="1"/>
    <x v="0"/>
    <x v="2"/>
    <x v="255"/>
    <d v="2023-06-27T00:00:00"/>
    <d v="2023-05-10T00:00:00"/>
    <n v="90"/>
    <n v="148.15"/>
    <n v="8988.9500000000007"/>
    <x v="2"/>
    <x v="2"/>
    <x v="1"/>
    <x v="27"/>
  </r>
  <r>
    <s v="ORD1355"/>
    <x v="2"/>
    <x v="0"/>
    <x v="0"/>
    <x v="3"/>
    <x v="262"/>
    <d v="2024-06-13T00:00:00"/>
    <d v="2024-02-03T00:00:00"/>
    <n v="104"/>
    <n v="158.35"/>
    <n v="4953.55"/>
    <x v="1"/>
    <x v="1"/>
    <x v="1"/>
    <x v="27"/>
  </r>
  <r>
    <s v="ORD1356"/>
    <x v="2"/>
    <x v="0"/>
    <x v="0"/>
    <x v="2"/>
    <x v="263"/>
    <d v="2024-09-02T00:00:00"/>
    <d v="2024-08-02T00:00:00"/>
    <n v="137"/>
    <n v="128.72999999999999"/>
    <n v="7739.08"/>
    <x v="2"/>
    <x v="2"/>
    <x v="0"/>
    <x v="18"/>
  </r>
  <r>
    <s v="ORD1357"/>
    <x v="2"/>
    <x v="0"/>
    <x v="2"/>
    <x v="2"/>
    <x v="94"/>
    <d v="2024-05-09T00:00:00"/>
    <d v="2023-11-25T00:00:00"/>
    <n v="119"/>
    <n v="259.93"/>
    <n v="6976.75"/>
    <x v="1"/>
    <x v="3"/>
    <x v="0"/>
    <x v="19"/>
  </r>
  <r>
    <s v="ORD1358"/>
    <x v="1"/>
    <x v="0"/>
    <x v="0"/>
    <x v="3"/>
    <x v="264"/>
    <d v="2023-07-18T00:00:00"/>
    <d v="2024-01-31T00:00:00"/>
    <n v="133"/>
    <n v="270.10000000000002"/>
    <n v="5973.27"/>
    <x v="2"/>
    <x v="3"/>
    <x v="0"/>
    <x v="10"/>
  </r>
  <r>
    <s v="ORD1359"/>
    <x v="0"/>
    <x v="1"/>
    <x v="0"/>
    <x v="3"/>
    <x v="265"/>
    <d v="2024-09-02T00:00:00"/>
    <d v="2024-11-22T00:00:00"/>
    <n v="56"/>
    <n v="181.66"/>
    <n v="5730.23"/>
    <x v="2"/>
    <x v="3"/>
    <x v="1"/>
    <x v="2"/>
  </r>
  <r>
    <s v="ORD1360"/>
    <x v="2"/>
    <x v="1"/>
    <x v="1"/>
    <x v="2"/>
    <x v="266"/>
    <d v="2024-07-31T00:00:00"/>
    <d v="2024-09-23T00:00:00"/>
    <n v="96"/>
    <n v="180.13"/>
    <n v="1077.49"/>
    <x v="2"/>
    <x v="2"/>
    <x v="0"/>
    <x v="17"/>
  </r>
  <r>
    <s v="ORD1361"/>
    <x v="2"/>
    <x v="0"/>
    <x v="2"/>
    <x v="0"/>
    <x v="67"/>
    <d v="2024-06-01T00:00:00"/>
    <d v="2024-03-19T00:00:00"/>
    <n v="178"/>
    <n v="415.14"/>
    <n v="7972.6"/>
    <x v="2"/>
    <x v="3"/>
    <x v="0"/>
    <x v="15"/>
  </r>
  <r>
    <s v="ORD1362"/>
    <x v="2"/>
    <x v="1"/>
    <x v="0"/>
    <x v="0"/>
    <x v="157"/>
    <d v="2024-05-29T00:00:00"/>
    <d v="2023-07-27T00:00:00"/>
    <n v="75"/>
    <n v="395.7"/>
    <n v="6694.22"/>
    <x v="1"/>
    <x v="1"/>
    <x v="0"/>
    <x v="6"/>
  </r>
  <r>
    <s v="ORD1364"/>
    <x v="2"/>
    <x v="2"/>
    <x v="2"/>
    <x v="2"/>
    <x v="133"/>
    <d v="2023-04-23T00:00:00"/>
    <d v="2023-02-04T00:00:00"/>
    <n v="32"/>
    <n v="457.33"/>
    <n v="7617.73"/>
    <x v="2"/>
    <x v="2"/>
    <x v="0"/>
    <x v="17"/>
  </r>
  <r>
    <s v="ORD1365"/>
    <x v="2"/>
    <x v="0"/>
    <x v="2"/>
    <x v="1"/>
    <x v="218"/>
    <d v="2023-02-27T00:00:00"/>
    <d v="2024-01-27T00:00:00"/>
    <n v="28"/>
    <n v="476.64"/>
    <n v="6134.06"/>
    <x v="2"/>
    <x v="2"/>
    <x v="0"/>
    <x v="21"/>
  </r>
  <r>
    <s v="ORD1366"/>
    <x v="1"/>
    <x v="1"/>
    <x v="0"/>
    <x v="3"/>
    <x v="267"/>
    <d v="2023-03-08T00:00:00"/>
    <d v="2024-09-20T00:00:00"/>
    <n v="22"/>
    <n v="166.74"/>
    <n v="4871.1499999999996"/>
    <x v="0"/>
    <x v="1"/>
    <x v="0"/>
    <x v="13"/>
  </r>
  <r>
    <s v="ORD1367"/>
    <x v="0"/>
    <x v="0"/>
    <x v="2"/>
    <x v="0"/>
    <x v="7"/>
    <d v="2023-04-09T00:00:00"/>
    <d v="2024-03-13T00:00:00"/>
    <n v="17"/>
    <n v="180.44"/>
    <n v="7739.08"/>
    <x v="2"/>
    <x v="1"/>
    <x v="0"/>
    <x v="4"/>
  </r>
  <r>
    <s v="ORD1368"/>
    <x v="2"/>
    <x v="0"/>
    <x v="2"/>
    <x v="1"/>
    <x v="173"/>
    <d v="2023-05-25T00:00:00"/>
    <d v="2024-01-15T00:00:00"/>
    <n v="59"/>
    <n v="255.29"/>
    <n v="3172.58"/>
    <x v="2"/>
    <x v="2"/>
    <x v="1"/>
    <x v="15"/>
  </r>
  <r>
    <s v="ORD1369"/>
    <x v="0"/>
    <x v="2"/>
    <x v="2"/>
    <x v="2"/>
    <x v="267"/>
    <d v="2024-03-11T00:00:00"/>
    <d v="2023-12-14T00:00:00"/>
    <n v="90"/>
    <n v="470.85"/>
    <n v="9735.16"/>
    <x v="2"/>
    <x v="3"/>
    <x v="0"/>
    <x v="2"/>
  </r>
  <r>
    <s v="ORD1370"/>
    <x v="0"/>
    <x v="2"/>
    <x v="2"/>
    <x v="1"/>
    <x v="4"/>
    <d v="2024-09-29T00:00:00"/>
    <d v="2024-03-22T00:00:00"/>
    <n v="199"/>
    <n v="438.78"/>
    <n v="5337.98"/>
    <x v="2"/>
    <x v="0"/>
    <x v="1"/>
    <x v="4"/>
  </r>
  <r>
    <s v="ORD1371"/>
    <x v="0"/>
    <x v="0"/>
    <x v="0"/>
    <x v="1"/>
    <x v="268"/>
    <d v="2024-11-10T00:00:00"/>
    <d v="2024-08-05T00:00:00"/>
    <n v="106"/>
    <n v="55.77"/>
    <n v="2382.5300000000002"/>
    <x v="1"/>
    <x v="0"/>
    <x v="1"/>
    <x v="27"/>
  </r>
  <r>
    <s v="ORD1372"/>
    <x v="2"/>
    <x v="1"/>
    <x v="1"/>
    <x v="0"/>
    <x v="269"/>
    <d v="2023-03-28T00:00:00"/>
    <d v="2023-03-20T00:00:00"/>
    <n v="185"/>
    <n v="199.4"/>
    <n v="6652.06"/>
    <x v="0"/>
    <x v="3"/>
    <x v="1"/>
    <x v="4"/>
  </r>
  <r>
    <s v="ORD1373"/>
    <x v="1"/>
    <x v="1"/>
    <x v="2"/>
    <x v="2"/>
    <x v="270"/>
    <d v="2024-08-11T00:00:00"/>
    <d v="2024-07-14T00:00:00"/>
    <n v="26"/>
    <n v="278.92"/>
    <n v="2084.2600000000002"/>
    <x v="0"/>
    <x v="0"/>
    <x v="1"/>
    <x v="28"/>
  </r>
  <r>
    <s v="ORD1374"/>
    <x v="3"/>
    <x v="0"/>
    <x v="1"/>
    <x v="3"/>
    <x v="248"/>
    <d v="2023-12-11T00:00:00"/>
    <d v="2024-10-31T00:00:00"/>
    <n v="25"/>
    <n v="254.05"/>
    <n v="4903.95"/>
    <x v="2"/>
    <x v="3"/>
    <x v="1"/>
    <x v="29"/>
  </r>
  <r>
    <s v="ORD1375"/>
    <x v="2"/>
    <x v="0"/>
    <x v="1"/>
    <x v="3"/>
    <x v="271"/>
    <d v="2023-10-22T00:00:00"/>
    <d v="2023-06-08T00:00:00"/>
    <n v="138"/>
    <n v="100.96"/>
    <n v="892.65"/>
    <x v="2"/>
    <x v="3"/>
    <x v="1"/>
    <x v="10"/>
  </r>
  <r>
    <s v="ORD1376"/>
    <x v="3"/>
    <x v="2"/>
    <x v="2"/>
    <x v="2"/>
    <x v="272"/>
    <d v="2024-07-25T00:00:00"/>
    <d v="2024-03-09T00:00:00"/>
    <n v="45"/>
    <n v="430.11"/>
    <n v="5972.37"/>
    <x v="2"/>
    <x v="3"/>
    <x v="2"/>
    <x v="17"/>
  </r>
  <r>
    <s v="ORD1377"/>
    <x v="2"/>
    <x v="2"/>
    <x v="0"/>
    <x v="3"/>
    <x v="273"/>
    <d v="2024-10-12T00:00:00"/>
    <d v="2024-01-02T00:00:00"/>
    <n v="83"/>
    <n v="340.09"/>
    <n v="9393.73"/>
    <x v="2"/>
    <x v="2"/>
    <x v="1"/>
    <x v="11"/>
  </r>
  <r>
    <s v="ORD1378"/>
    <x v="3"/>
    <x v="2"/>
    <x v="1"/>
    <x v="3"/>
    <x v="274"/>
    <d v="2024-09-03T00:00:00"/>
    <d v="2024-03-27T00:00:00"/>
    <n v="11"/>
    <n v="419.76"/>
    <n v="8262.89"/>
    <x v="2"/>
    <x v="2"/>
    <x v="0"/>
    <x v="29"/>
  </r>
  <r>
    <s v="ORD1379"/>
    <x v="1"/>
    <x v="1"/>
    <x v="2"/>
    <x v="3"/>
    <x v="275"/>
    <d v="2024-12-05T00:00:00"/>
    <d v="2023-08-26T00:00:00"/>
    <n v="181"/>
    <n v="430.09"/>
    <n v="2155.7800000000002"/>
    <x v="2"/>
    <x v="3"/>
    <x v="0"/>
    <x v="11"/>
  </r>
  <r>
    <s v="ORD1380"/>
    <x v="2"/>
    <x v="1"/>
    <x v="1"/>
    <x v="2"/>
    <x v="175"/>
    <d v="2023-09-01T00:00:00"/>
    <d v="2024-07-20T00:00:00"/>
    <m/>
    <n v="375.44"/>
    <n v="7263.81"/>
    <x v="0"/>
    <x v="1"/>
    <x v="0"/>
    <x v="25"/>
  </r>
  <r>
    <s v="ORD1381"/>
    <x v="3"/>
    <x v="1"/>
    <x v="2"/>
    <x v="1"/>
    <x v="276"/>
    <d v="2024-07-15T00:00:00"/>
    <d v="2023-09-23T00:00:00"/>
    <n v="104"/>
    <n v="222.41"/>
    <n v="5037.6899999999996"/>
    <x v="0"/>
    <x v="0"/>
    <x v="0"/>
    <x v="14"/>
  </r>
  <r>
    <s v="ORD1382"/>
    <x v="2"/>
    <x v="1"/>
    <x v="0"/>
    <x v="1"/>
    <x v="89"/>
    <d v="2023-02-02T00:00:00"/>
    <d v="2023-05-09T00:00:00"/>
    <n v="68"/>
    <n v="307.22000000000003"/>
    <n v="4366.75"/>
    <x v="0"/>
    <x v="2"/>
    <x v="2"/>
    <x v="21"/>
  </r>
  <r>
    <s v="ORD1383"/>
    <x v="3"/>
    <x v="1"/>
    <x v="1"/>
    <x v="1"/>
    <x v="277"/>
    <d v="2024-01-27T00:00:00"/>
    <d v="2023-09-06T00:00:00"/>
    <n v="95"/>
    <n v="84.38"/>
    <n v="8389.64"/>
    <x v="0"/>
    <x v="0"/>
    <x v="2"/>
    <x v="9"/>
  </r>
  <r>
    <s v="ORD1384"/>
    <x v="1"/>
    <x v="2"/>
    <x v="0"/>
    <x v="1"/>
    <x v="28"/>
    <d v="2023-10-05T00:00:00"/>
    <d v="2024-06-29T00:00:00"/>
    <n v="156"/>
    <n v="338.45"/>
    <n v="7512.28"/>
    <x v="0"/>
    <x v="0"/>
    <x v="1"/>
    <x v="24"/>
  </r>
  <r>
    <s v="ORD1385"/>
    <x v="3"/>
    <x v="2"/>
    <x v="0"/>
    <x v="1"/>
    <x v="98"/>
    <d v="2024-06-16T00:00:00"/>
    <d v="2024-05-03T00:00:00"/>
    <n v="65"/>
    <n v="93.73"/>
    <n v="3705.54"/>
    <x v="1"/>
    <x v="3"/>
    <x v="2"/>
    <x v="26"/>
  </r>
  <r>
    <s v="ORD1386"/>
    <x v="3"/>
    <x v="2"/>
    <x v="0"/>
    <x v="1"/>
    <x v="278"/>
    <d v="2023-06-04T00:00:00"/>
    <d v="2023-05-06T00:00:00"/>
    <n v="49"/>
    <n v="348.51"/>
    <n v="9901.58"/>
    <x v="0"/>
    <x v="1"/>
    <x v="0"/>
    <x v="14"/>
  </r>
  <r>
    <s v="ORD1387"/>
    <x v="3"/>
    <x v="2"/>
    <x v="2"/>
    <x v="1"/>
    <x v="200"/>
    <d v="2024-01-19T00:00:00"/>
    <d v="2023-05-09T00:00:00"/>
    <n v="175"/>
    <n v="118.65"/>
    <n v="7620.47"/>
    <x v="0"/>
    <x v="1"/>
    <x v="2"/>
    <x v="23"/>
  </r>
  <r>
    <s v="ORD1388"/>
    <x v="2"/>
    <x v="2"/>
    <x v="1"/>
    <x v="3"/>
    <x v="279"/>
    <d v="2023-03-10T00:00:00"/>
    <d v="2024-07-06T00:00:00"/>
    <n v="52"/>
    <n v="63.19"/>
    <n v="5534.04"/>
    <x v="0"/>
    <x v="1"/>
    <x v="2"/>
    <x v="27"/>
  </r>
  <r>
    <s v="ORD1389"/>
    <x v="2"/>
    <x v="2"/>
    <x v="1"/>
    <x v="1"/>
    <x v="280"/>
    <d v="2023-08-03T00:00:00"/>
    <d v="2023-06-23T00:00:00"/>
    <n v="102"/>
    <n v="86.82"/>
    <n v="7435.42"/>
    <x v="0"/>
    <x v="1"/>
    <x v="2"/>
    <x v="27"/>
  </r>
  <r>
    <s v="ORD1390"/>
    <x v="2"/>
    <x v="1"/>
    <x v="1"/>
    <x v="1"/>
    <x v="281"/>
    <d v="2024-10-17T00:00:00"/>
    <d v="2023-05-08T00:00:00"/>
    <n v="182"/>
    <n v="5.99"/>
    <n v="1547.2"/>
    <x v="0"/>
    <x v="3"/>
    <x v="2"/>
    <x v="25"/>
  </r>
  <r>
    <s v="ORD1391"/>
    <x v="1"/>
    <x v="1"/>
    <x v="2"/>
    <x v="1"/>
    <x v="282"/>
    <d v="2024-01-12T00:00:00"/>
    <d v="2023-02-08T00:00:00"/>
    <n v="188"/>
    <n v="360.78"/>
    <n v="4517.9399999999996"/>
    <x v="1"/>
    <x v="2"/>
    <x v="1"/>
    <x v="9"/>
  </r>
  <r>
    <s v="ORD1392"/>
    <x v="2"/>
    <x v="2"/>
    <x v="0"/>
    <x v="3"/>
    <x v="230"/>
    <d v="2023-08-02T00:00:00"/>
    <d v="2023-04-01T00:00:00"/>
    <n v="57"/>
    <n v="367.54"/>
    <n v="6791.44"/>
    <x v="2"/>
    <x v="3"/>
    <x v="0"/>
    <x v="19"/>
  </r>
  <r>
    <s v="ORD1394"/>
    <x v="3"/>
    <x v="0"/>
    <x v="0"/>
    <x v="2"/>
    <x v="283"/>
    <d v="2024-12-27T00:00:00"/>
    <d v="2024-12-12T00:00:00"/>
    <n v="159"/>
    <n v="84.87"/>
    <n v="6088.13"/>
    <x v="0"/>
    <x v="2"/>
    <x v="1"/>
    <x v="8"/>
  </r>
  <r>
    <s v="ORD1395"/>
    <x v="3"/>
    <x v="0"/>
    <x v="0"/>
    <x v="1"/>
    <x v="61"/>
    <d v="2024-09-20T00:00:00"/>
    <d v="2023-07-24T00:00:00"/>
    <n v="174"/>
    <n v="46.36"/>
    <n v="2226.16"/>
    <x v="1"/>
    <x v="2"/>
    <x v="0"/>
    <x v="11"/>
  </r>
  <r>
    <s v="ORD1396"/>
    <x v="1"/>
    <x v="0"/>
    <x v="0"/>
    <x v="0"/>
    <x v="92"/>
    <d v="2024-08-27T00:00:00"/>
    <d v="2024-01-08T00:00:00"/>
    <n v="26"/>
    <n v="14.47"/>
    <n v="1685.84"/>
    <x v="0"/>
    <x v="1"/>
    <x v="0"/>
    <x v="5"/>
  </r>
  <r>
    <s v="ORD1397"/>
    <x v="3"/>
    <x v="1"/>
    <x v="0"/>
    <x v="1"/>
    <x v="78"/>
    <d v="2024-01-17T00:00:00"/>
    <d v="2023-03-22T00:00:00"/>
    <n v="114"/>
    <n v="87.05"/>
    <n v="7706.02"/>
    <x v="0"/>
    <x v="2"/>
    <x v="0"/>
    <x v="5"/>
  </r>
  <r>
    <s v="ORD1398"/>
    <x v="2"/>
    <x v="0"/>
    <x v="2"/>
    <x v="1"/>
    <x v="284"/>
    <d v="2024-11-11T00:00:00"/>
    <d v="2023-03-04T00:00:00"/>
    <n v="5"/>
    <n v="445.97"/>
    <n v="9836.49"/>
    <x v="0"/>
    <x v="2"/>
    <x v="1"/>
    <x v="17"/>
  </r>
  <r>
    <s v="ORD1399"/>
    <x v="2"/>
    <x v="0"/>
    <x v="0"/>
    <x v="3"/>
    <x v="285"/>
    <d v="2023-02-28T00:00:00"/>
    <d v="2024-03-10T00:00:00"/>
    <n v="84"/>
    <n v="124.56"/>
    <n v="56.5"/>
    <x v="0"/>
    <x v="0"/>
    <x v="0"/>
    <x v="28"/>
  </r>
  <r>
    <s v="ORD1400"/>
    <x v="0"/>
    <x v="1"/>
    <x v="0"/>
    <x v="2"/>
    <x v="270"/>
    <d v="2023-01-27T00:00:00"/>
    <d v="2024-10-03T00:00:00"/>
    <n v="52"/>
    <n v="180.36"/>
    <n v="5590.01"/>
    <x v="1"/>
    <x v="1"/>
    <x v="2"/>
    <x v="10"/>
  </r>
  <r>
    <s v="ORD1401"/>
    <x v="3"/>
    <x v="1"/>
    <x v="2"/>
    <x v="0"/>
    <x v="286"/>
    <d v="2024-03-23T00:00:00"/>
    <d v="2024-05-18T00:00:00"/>
    <n v="105"/>
    <n v="57.15"/>
    <n v="3300.06"/>
    <x v="0"/>
    <x v="3"/>
    <x v="2"/>
    <x v="1"/>
  </r>
  <r>
    <s v="ORD1402"/>
    <x v="2"/>
    <x v="0"/>
    <x v="0"/>
    <x v="1"/>
    <x v="287"/>
    <d v="2023-03-08T00:00:00"/>
    <d v="2023-04-23T00:00:00"/>
    <n v="54"/>
    <n v="115.07"/>
    <n v="2534.21"/>
    <x v="0"/>
    <x v="1"/>
    <x v="0"/>
    <x v="17"/>
  </r>
  <r>
    <s v="ORD1403"/>
    <x v="0"/>
    <x v="0"/>
    <x v="2"/>
    <x v="1"/>
    <x v="288"/>
    <d v="2023-09-12T00:00:00"/>
    <d v="2025-01-09T00:00:00"/>
    <n v="161"/>
    <n v="262.02"/>
    <n v="6013.06"/>
    <x v="0"/>
    <x v="0"/>
    <x v="1"/>
    <x v="19"/>
  </r>
  <r>
    <s v="ORD1404"/>
    <x v="0"/>
    <x v="0"/>
    <x v="1"/>
    <x v="1"/>
    <x v="289"/>
    <d v="2023-02-14T00:00:00"/>
    <d v="2023-10-09T00:00:00"/>
    <n v="178"/>
    <n v="305.83999999999997"/>
    <n v="7579.47"/>
    <x v="2"/>
    <x v="2"/>
    <x v="1"/>
    <x v="17"/>
  </r>
  <r>
    <s v="ORD1405"/>
    <x v="0"/>
    <x v="0"/>
    <x v="2"/>
    <x v="3"/>
    <x v="290"/>
    <d v="2023-04-08T00:00:00"/>
    <d v="2023-03-13T00:00:00"/>
    <n v="166"/>
    <n v="126.45"/>
    <n v="6256.24"/>
    <x v="2"/>
    <x v="3"/>
    <x v="1"/>
    <x v="18"/>
  </r>
  <r>
    <s v="ORD1406"/>
    <x v="2"/>
    <x v="0"/>
    <x v="2"/>
    <x v="3"/>
    <x v="143"/>
    <d v="2024-07-08T00:00:00"/>
    <d v="2023-03-14T00:00:00"/>
    <n v="155"/>
    <n v="33.58"/>
    <n v="1604.26"/>
    <x v="2"/>
    <x v="3"/>
    <x v="2"/>
    <x v="20"/>
  </r>
  <r>
    <s v="ORD1407"/>
    <x v="2"/>
    <x v="0"/>
    <x v="1"/>
    <x v="1"/>
    <x v="291"/>
    <d v="2023-08-16T00:00:00"/>
    <d v="2023-06-18T00:00:00"/>
    <n v="15"/>
    <n v="198.56"/>
    <n v="9014.56"/>
    <x v="0"/>
    <x v="2"/>
    <x v="2"/>
    <x v="3"/>
  </r>
  <r>
    <s v="ORD1408"/>
    <x v="2"/>
    <x v="1"/>
    <x v="1"/>
    <x v="0"/>
    <x v="292"/>
    <d v="2024-11-10T00:00:00"/>
    <d v="2024-05-07T00:00:00"/>
    <n v="61"/>
    <n v="120.93"/>
    <n v="7011.41"/>
    <x v="1"/>
    <x v="1"/>
    <x v="0"/>
    <x v="10"/>
  </r>
  <r>
    <s v="ORD1409"/>
    <x v="0"/>
    <x v="2"/>
    <x v="1"/>
    <x v="2"/>
    <x v="261"/>
    <d v="2024-03-12T00:00:00"/>
    <d v="2023-11-05T00:00:00"/>
    <n v="122"/>
    <n v="113.68"/>
    <n v="3624.13"/>
    <x v="2"/>
    <x v="1"/>
    <x v="1"/>
    <x v="2"/>
  </r>
  <r>
    <s v="ORD1410"/>
    <x v="1"/>
    <x v="0"/>
    <x v="2"/>
    <x v="0"/>
    <x v="242"/>
    <d v="2024-08-24T00:00:00"/>
    <d v="2024-11-08T00:00:00"/>
    <n v="21"/>
    <n v="480.13"/>
    <n v="2633.72"/>
    <x v="2"/>
    <x v="1"/>
    <x v="0"/>
    <x v="24"/>
  </r>
  <r>
    <s v="ORD1411"/>
    <x v="0"/>
    <x v="0"/>
    <x v="1"/>
    <x v="0"/>
    <x v="41"/>
    <d v="2024-01-15T00:00:00"/>
    <d v="2024-01-04T00:00:00"/>
    <n v="46"/>
    <n v="310.07"/>
    <n v="5948.76"/>
    <x v="0"/>
    <x v="0"/>
    <x v="0"/>
    <x v="22"/>
  </r>
  <r>
    <s v="ORD1413"/>
    <x v="3"/>
    <x v="1"/>
    <x v="0"/>
    <x v="2"/>
    <x v="293"/>
    <d v="2024-03-03T00:00:00"/>
    <d v="2023-12-13T00:00:00"/>
    <n v="134"/>
    <n v="210.81"/>
    <n v="4262.18"/>
    <x v="2"/>
    <x v="1"/>
    <x v="0"/>
    <x v="17"/>
  </r>
  <r>
    <s v="ORD1414"/>
    <x v="2"/>
    <x v="1"/>
    <x v="0"/>
    <x v="1"/>
    <x v="294"/>
    <d v="2024-12-10T00:00:00"/>
    <d v="2024-07-11T00:00:00"/>
    <n v="38"/>
    <n v="217.33"/>
    <n v="4366.75"/>
    <x v="0"/>
    <x v="2"/>
    <x v="1"/>
    <x v="27"/>
  </r>
  <r>
    <s v="ORD1415"/>
    <x v="1"/>
    <x v="0"/>
    <x v="0"/>
    <x v="2"/>
    <x v="295"/>
    <d v="2023-11-04T00:00:00"/>
    <d v="2023-12-24T00:00:00"/>
    <n v="62"/>
    <n v="272.75"/>
    <n v="1648.76"/>
    <x v="0"/>
    <x v="0"/>
    <x v="1"/>
    <x v="27"/>
  </r>
  <r>
    <s v="ORD1416"/>
    <x v="2"/>
    <x v="0"/>
    <x v="0"/>
    <x v="3"/>
    <x v="296"/>
    <d v="2024-05-19T00:00:00"/>
    <d v="2024-02-24T00:00:00"/>
    <n v="86"/>
    <n v="349.73"/>
    <n v="9382.75"/>
    <x v="0"/>
    <x v="0"/>
    <x v="0"/>
    <x v="18"/>
  </r>
  <r>
    <s v="ORD1417"/>
    <x v="3"/>
    <x v="2"/>
    <x v="0"/>
    <x v="3"/>
    <x v="290"/>
    <d v="2023-09-26T00:00:00"/>
    <d v="2023-04-23T00:00:00"/>
    <n v="190"/>
    <n v="352.56"/>
    <n v="8183.21"/>
    <x v="2"/>
    <x v="0"/>
    <x v="1"/>
    <x v="8"/>
  </r>
  <r>
    <s v="ORD1418"/>
    <x v="2"/>
    <x v="1"/>
    <x v="0"/>
    <x v="1"/>
    <x v="297"/>
    <d v="2024-08-09T00:00:00"/>
    <d v="2024-07-20T00:00:00"/>
    <n v="78"/>
    <n v="89.99"/>
    <n v="4409.88"/>
    <x v="2"/>
    <x v="0"/>
    <x v="0"/>
    <x v="9"/>
  </r>
  <r>
    <s v="ORD1419"/>
    <x v="2"/>
    <x v="0"/>
    <x v="0"/>
    <x v="1"/>
    <x v="243"/>
    <d v="2023-01-09T00:00:00"/>
    <d v="2024-05-15T00:00:00"/>
    <n v="46"/>
    <n v="252.56"/>
    <n v="6256.24"/>
    <x v="0"/>
    <x v="3"/>
    <x v="0"/>
    <x v="14"/>
  </r>
  <r>
    <s v="ORD1420"/>
    <x v="2"/>
    <x v="0"/>
    <x v="0"/>
    <x v="1"/>
    <x v="298"/>
    <d v="2024-05-23T00:00:00"/>
    <d v="2023-12-11T00:00:00"/>
    <n v="141"/>
    <n v="208.92"/>
    <n v="4676.84"/>
    <x v="0"/>
    <x v="0"/>
    <x v="1"/>
    <x v="7"/>
  </r>
  <r>
    <s v="ORD1421"/>
    <x v="3"/>
    <x v="0"/>
    <x v="0"/>
    <x v="3"/>
    <x v="299"/>
    <d v="2024-04-21T00:00:00"/>
    <d v="2024-01-22T00:00:00"/>
    <n v="3"/>
    <n v="435.91"/>
    <n v="3705.54"/>
    <x v="0"/>
    <x v="3"/>
    <x v="1"/>
    <x v="5"/>
  </r>
  <r>
    <s v="ORD1422"/>
    <x v="3"/>
    <x v="1"/>
    <x v="2"/>
    <x v="0"/>
    <x v="146"/>
    <d v="2023-10-25T00:00:00"/>
    <d v="2024-06-20T00:00:00"/>
    <n v="6"/>
    <n v="317.55"/>
    <n v="5989.26"/>
    <x v="0"/>
    <x v="3"/>
    <x v="1"/>
    <x v="1"/>
  </r>
  <r>
    <s v="ORD1423"/>
    <x v="2"/>
    <x v="1"/>
    <x v="0"/>
    <x v="3"/>
    <x v="152"/>
    <d v="2023-06-14T00:00:00"/>
    <d v="2023-10-31T00:00:00"/>
    <n v="93"/>
    <n v="268.58999999999997"/>
    <n v="8178.89"/>
    <x v="0"/>
    <x v="1"/>
    <x v="0"/>
    <x v="18"/>
  </r>
  <r>
    <s v="ORD1424"/>
    <x v="2"/>
    <x v="2"/>
    <x v="0"/>
    <x v="1"/>
    <x v="186"/>
    <d v="2024-04-30T00:00:00"/>
    <d v="2023-05-23T00:00:00"/>
    <n v="8"/>
    <n v="62.12"/>
    <n v="9335.39"/>
    <x v="0"/>
    <x v="3"/>
    <x v="1"/>
    <x v="20"/>
  </r>
  <r>
    <s v="ORD1425"/>
    <x v="0"/>
    <x v="2"/>
    <x v="0"/>
    <x v="1"/>
    <x v="300"/>
    <d v="2024-08-20T00:00:00"/>
    <d v="2023-12-29T00:00:00"/>
    <n v="172"/>
    <n v="304.79000000000002"/>
    <n v="1834.59"/>
    <x v="1"/>
    <x v="3"/>
    <x v="0"/>
    <x v="20"/>
  </r>
  <r>
    <s v="ORD1426"/>
    <x v="3"/>
    <x v="2"/>
    <x v="0"/>
    <x v="1"/>
    <x v="45"/>
    <d v="2023-03-14T00:00:00"/>
    <d v="2024-05-17T00:00:00"/>
    <n v="108"/>
    <n v="63.02"/>
    <n v="5028.58"/>
    <x v="2"/>
    <x v="0"/>
    <x v="2"/>
    <x v="11"/>
  </r>
  <r>
    <s v="ORD1427"/>
    <x v="2"/>
    <x v="2"/>
    <x v="0"/>
    <x v="3"/>
    <x v="301"/>
    <d v="2024-07-21T00:00:00"/>
    <d v="2024-01-24T00:00:00"/>
    <n v="161"/>
    <n v="171.92"/>
    <n v="2332.19"/>
    <x v="1"/>
    <x v="2"/>
    <x v="1"/>
    <x v="29"/>
  </r>
  <r>
    <s v="ORD1428"/>
    <x v="2"/>
    <x v="0"/>
    <x v="1"/>
    <x v="3"/>
    <x v="302"/>
    <d v="2024-07-13T00:00:00"/>
    <d v="2024-08-30T00:00:00"/>
    <n v="75"/>
    <n v="75.709999999999994"/>
    <n v="4707.29"/>
    <x v="0"/>
    <x v="0"/>
    <x v="2"/>
    <x v="27"/>
  </r>
  <r>
    <s v="ORD1429"/>
    <x v="1"/>
    <x v="0"/>
    <x v="1"/>
    <x v="1"/>
    <x v="139"/>
    <d v="2023-08-27T00:00:00"/>
    <d v="2023-10-11T00:00:00"/>
    <n v="77"/>
    <n v="347.58"/>
    <n v="1766.61"/>
    <x v="0"/>
    <x v="0"/>
    <x v="1"/>
    <x v="2"/>
  </r>
  <r>
    <s v="ORD1430"/>
    <x v="0"/>
    <x v="0"/>
    <x v="2"/>
    <x v="0"/>
    <x v="303"/>
    <d v="2023-04-15T00:00:00"/>
    <d v="2024-10-02T00:00:00"/>
    <n v="50"/>
    <n v="107.09"/>
    <n v="6633.59"/>
    <x v="0"/>
    <x v="3"/>
    <x v="1"/>
    <x v="2"/>
  </r>
  <r>
    <s v="ORD1431"/>
    <x v="0"/>
    <x v="0"/>
    <x v="0"/>
    <x v="1"/>
    <x v="302"/>
    <d v="2023-07-30T00:00:00"/>
    <d v="2024-05-01T00:00:00"/>
    <n v="11"/>
    <n v="198.97"/>
    <n v="8024.39"/>
    <x v="0"/>
    <x v="0"/>
    <x v="0"/>
    <x v="14"/>
  </r>
  <r>
    <s v="ORD1432"/>
    <x v="2"/>
    <x v="0"/>
    <x v="2"/>
    <x v="1"/>
    <x v="304"/>
    <d v="2024-07-08T00:00:00"/>
    <d v="2023-04-25T00:00:00"/>
    <n v="95"/>
    <n v="448.36"/>
    <n v="240.49"/>
    <x v="0"/>
    <x v="0"/>
    <x v="0"/>
    <x v="17"/>
  </r>
  <r>
    <s v="ORD1433"/>
    <x v="2"/>
    <x v="2"/>
    <x v="2"/>
    <x v="3"/>
    <x v="305"/>
    <d v="2024-04-13T00:00:00"/>
    <d v="2023-05-23T00:00:00"/>
    <n v="156"/>
    <n v="106.14"/>
    <n v="6342.29"/>
    <x v="1"/>
    <x v="1"/>
    <x v="0"/>
    <x v="5"/>
  </r>
  <r>
    <s v="ORD1434"/>
    <x v="0"/>
    <x v="0"/>
    <x v="0"/>
    <x v="1"/>
    <x v="258"/>
    <d v="2024-03-30T00:00:00"/>
    <d v="2024-03-14T00:00:00"/>
    <n v="70"/>
    <n v="256.36"/>
    <n v="7936.32"/>
    <x v="1"/>
    <x v="2"/>
    <x v="1"/>
    <x v="17"/>
  </r>
  <r>
    <s v="ORD1435"/>
    <x v="0"/>
    <x v="2"/>
    <x v="0"/>
    <x v="1"/>
    <x v="266"/>
    <d v="2023-09-26T00:00:00"/>
    <d v="2024-05-27T00:00:00"/>
    <n v="169"/>
    <n v="212.54"/>
    <n v="8851.64"/>
    <x v="1"/>
    <x v="0"/>
    <x v="0"/>
    <x v="29"/>
  </r>
  <r>
    <s v="ORD1436"/>
    <x v="0"/>
    <x v="2"/>
    <x v="0"/>
    <x v="1"/>
    <x v="250"/>
    <d v="2024-01-22T00:00:00"/>
    <d v="2023-10-04T00:00:00"/>
    <n v="16"/>
    <n v="13.97"/>
    <n v="5403.33"/>
    <x v="1"/>
    <x v="3"/>
    <x v="0"/>
    <x v="13"/>
  </r>
  <r>
    <s v="ORD1437"/>
    <x v="0"/>
    <x v="2"/>
    <x v="0"/>
    <x v="3"/>
    <x v="306"/>
    <d v="2024-01-23T00:00:00"/>
    <d v="2023-04-13T00:00:00"/>
    <n v="68"/>
    <n v="397.42"/>
    <n v="8183.21"/>
    <x v="1"/>
    <x v="1"/>
    <x v="1"/>
    <x v="28"/>
  </r>
  <r>
    <s v="ORD1438"/>
    <x v="0"/>
    <x v="2"/>
    <x v="0"/>
    <x v="3"/>
    <x v="52"/>
    <d v="2023-09-17T00:00:00"/>
    <d v="2023-04-18T00:00:00"/>
    <n v="99"/>
    <n v="39.18"/>
    <n v="4450.82"/>
    <x v="1"/>
    <x v="1"/>
    <x v="0"/>
    <x v="28"/>
  </r>
  <r>
    <s v="ORD1440"/>
    <x v="2"/>
    <x v="1"/>
    <x v="0"/>
    <x v="3"/>
    <x v="307"/>
    <d v="2024-09-18T00:00:00"/>
    <d v="2024-10-29T00:00:00"/>
    <n v="184"/>
    <n v="282.54000000000002"/>
    <n v="1715.2"/>
    <x v="1"/>
    <x v="3"/>
    <x v="0"/>
    <x v="11"/>
  </r>
  <r>
    <s v="ORD1441"/>
    <x v="0"/>
    <x v="1"/>
    <x v="0"/>
    <x v="0"/>
    <x v="289"/>
    <d v="2023-02-10T00:00:00"/>
    <d v="2023-06-18T00:00:00"/>
    <n v="64"/>
    <n v="316.07"/>
    <n v="8353.99"/>
    <x v="1"/>
    <x v="3"/>
    <x v="1"/>
    <x v="10"/>
  </r>
  <r>
    <s v="ORD1442"/>
    <x v="2"/>
    <x v="2"/>
    <x v="1"/>
    <x v="1"/>
    <x v="308"/>
    <d v="2024-05-01T00:00:00"/>
    <d v="2024-06-07T00:00:00"/>
    <n v="187"/>
    <n v="345.87"/>
    <n v="6801.07"/>
    <x v="0"/>
    <x v="3"/>
    <x v="0"/>
    <x v="29"/>
  </r>
  <r>
    <s v="ORD1443"/>
    <x v="1"/>
    <x v="2"/>
    <x v="2"/>
    <x v="3"/>
    <x v="295"/>
    <d v="2023-08-09T00:00:00"/>
    <d v="2023-10-15T00:00:00"/>
    <n v="90"/>
    <n v="130.37"/>
    <n v="1648.76"/>
    <x v="2"/>
    <x v="0"/>
    <x v="0"/>
    <x v="16"/>
  </r>
  <r>
    <s v="ORD1444"/>
    <x v="0"/>
    <x v="0"/>
    <x v="2"/>
    <x v="2"/>
    <x v="60"/>
    <d v="2023-05-10T00:00:00"/>
    <d v="2024-06-04T00:00:00"/>
    <n v="190"/>
    <n v="9.94"/>
    <n v="6223.71"/>
    <x v="2"/>
    <x v="0"/>
    <x v="1"/>
    <x v="22"/>
  </r>
  <r>
    <s v="ORD1445"/>
    <x v="0"/>
    <x v="2"/>
    <x v="2"/>
    <x v="2"/>
    <x v="294"/>
    <d v="2024-06-04T00:00:00"/>
    <d v="2024-10-22T00:00:00"/>
    <n v="76"/>
    <n v="363.1"/>
    <n v="1748.55"/>
    <x v="2"/>
    <x v="3"/>
    <x v="0"/>
    <x v="10"/>
  </r>
  <r>
    <s v="ORD1446"/>
    <x v="3"/>
    <x v="0"/>
    <x v="2"/>
    <x v="2"/>
    <x v="172"/>
    <d v="2024-09-05T00:00:00"/>
    <d v="2024-09-08T00:00:00"/>
    <n v="139"/>
    <n v="270.14999999999998"/>
    <n v="6636.04"/>
    <x v="1"/>
    <x v="3"/>
    <x v="2"/>
    <x v="19"/>
  </r>
  <r>
    <s v="ORD1447"/>
    <x v="0"/>
    <x v="1"/>
    <x v="1"/>
    <x v="1"/>
    <x v="309"/>
    <d v="2024-11-19T00:00:00"/>
    <d v="2023-06-17T00:00:00"/>
    <n v="101"/>
    <n v="418.88"/>
    <n v="2382.5300000000002"/>
    <x v="1"/>
    <x v="0"/>
    <x v="2"/>
    <x v="5"/>
  </r>
  <r>
    <s v="ORD1449"/>
    <x v="2"/>
    <x v="1"/>
    <x v="1"/>
    <x v="3"/>
    <x v="310"/>
    <d v="2024-09-05T00:00:00"/>
    <d v="2023-03-09T00:00:00"/>
    <n v="18"/>
    <n v="422.45"/>
    <n v="9358.07"/>
    <x v="0"/>
    <x v="3"/>
    <x v="0"/>
    <x v="4"/>
  </r>
  <r>
    <s v="ORD1450"/>
    <x v="1"/>
    <x v="2"/>
    <x v="1"/>
    <x v="2"/>
    <x v="34"/>
    <d v="2023-09-18T00:00:00"/>
    <d v="2023-04-05T00:00:00"/>
    <n v="19"/>
    <n v="245.12"/>
    <n v="6256.24"/>
    <x v="0"/>
    <x v="3"/>
    <x v="0"/>
    <x v="17"/>
  </r>
  <r>
    <s v="ORD1451"/>
    <x v="2"/>
    <x v="2"/>
    <x v="2"/>
    <x v="1"/>
    <x v="311"/>
    <d v="2024-01-02T00:00:00"/>
    <d v="2023-05-01T00:00:00"/>
    <n v="55"/>
    <n v="170.15"/>
    <n v="1340.31"/>
    <x v="0"/>
    <x v="0"/>
    <x v="2"/>
    <x v="14"/>
  </r>
  <r>
    <s v="ORD1452"/>
    <x v="1"/>
    <x v="2"/>
    <x v="0"/>
    <x v="1"/>
    <x v="311"/>
    <d v="2024-06-28T00:00:00"/>
    <d v="2023-09-28T00:00:00"/>
    <n v="102"/>
    <n v="396.82"/>
    <n v="1414.63"/>
    <x v="2"/>
    <x v="3"/>
    <x v="0"/>
    <x v="13"/>
  </r>
  <r>
    <s v="ORD1453"/>
    <x v="0"/>
    <x v="2"/>
    <x v="0"/>
    <x v="0"/>
    <x v="253"/>
    <d v="2024-10-11T00:00:00"/>
    <d v="2024-11-19T00:00:00"/>
    <n v="118"/>
    <n v="228.39"/>
    <n v="1089.32"/>
    <x v="2"/>
    <x v="3"/>
    <x v="1"/>
    <x v="12"/>
  </r>
  <r>
    <s v="ORD1454"/>
    <x v="3"/>
    <x v="1"/>
    <x v="0"/>
    <x v="0"/>
    <x v="284"/>
    <d v="2024-06-08T00:00:00"/>
    <d v="2024-07-16T00:00:00"/>
    <n v="154"/>
    <n v="95.8"/>
    <n v="6102.78"/>
    <x v="2"/>
    <x v="3"/>
    <x v="0"/>
    <x v="23"/>
  </r>
  <r>
    <s v="ORD1455"/>
    <x v="3"/>
    <x v="1"/>
    <x v="1"/>
    <x v="1"/>
    <x v="160"/>
    <d v="2023-01-17T00:00:00"/>
    <d v="2023-05-24T00:00:00"/>
    <n v="134"/>
    <n v="428.21"/>
    <n v="4340.78"/>
    <x v="1"/>
    <x v="2"/>
    <x v="1"/>
    <x v="21"/>
  </r>
  <r>
    <s v="ORD1456"/>
    <x v="3"/>
    <x v="2"/>
    <x v="0"/>
    <x v="1"/>
    <x v="73"/>
    <d v="2023-05-10T00:00:00"/>
    <d v="2023-09-07T00:00:00"/>
    <n v="4"/>
    <n v="441.87"/>
    <n v="4328.3500000000004"/>
    <x v="0"/>
    <x v="0"/>
    <x v="0"/>
    <x v="6"/>
  </r>
  <r>
    <s v="ORD1458"/>
    <x v="3"/>
    <x v="0"/>
    <x v="0"/>
    <x v="1"/>
    <x v="35"/>
    <d v="2023-04-20T00:00:00"/>
    <d v="2024-02-03T00:00:00"/>
    <n v="115"/>
    <n v="42.47"/>
    <n v="8196.4699999999993"/>
    <x v="0"/>
    <x v="2"/>
    <x v="0"/>
    <x v="13"/>
  </r>
  <r>
    <s v="ORD1459"/>
    <x v="2"/>
    <x v="0"/>
    <x v="1"/>
    <x v="1"/>
    <x v="312"/>
    <d v="2024-06-17T00:00:00"/>
    <d v="2024-05-05T00:00:00"/>
    <n v="29"/>
    <n v="196.97"/>
    <n v="4676.84"/>
    <x v="0"/>
    <x v="3"/>
    <x v="0"/>
    <x v="29"/>
  </r>
  <r>
    <s v="ORD1461"/>
    <x v="0"/>
    <x v="0"/>
    <x v="2"/>
    <x v="0"/>
    <x v="313"/>
    <d v="2023-09-27T00:00:00"/>
    <d v="2024-06-04T00:00:00"/>
    <n v="125"/>
    <n v="451.38"/>
    <n v="1515.39"/>
    <x v="0"/>
    <x v="3"/>
    <x v="0"/>
    <x v="24"/>
  </r>
  <r>
    <s v="ORD1462"/>
    <x v="0"/>
    <x v="0"/>
    <x v="1"/>
    <x v="0"/>
    <x v="314"/>
    <d v="2023-06-12T00:00:00"/>
    <d v="2023-07-07T00:00:00"/>
    <n v="98"/>
    <n v="105.72"/>
    <n v="7077.15"/>
    <x v="2"/>
    <x v="1"/>
    <x v="1"/>
    <x v="11"/>
  </r>
  <r>
    <s v="ORD1463"/>
    <x v="2"/>
    <x v="1"/>
    <x v="2"/>
    <x v="3"/>
    <x v="315"/>
    <d v="2023-09-18T00:00:00"/>
    <d v="2023-01-24T00:00:00"/>
    <n v="17"/>
    <n v="38.15"/>
    <n v="7579.47"/>
    <x v="0"/>
    <x v="0"/>
    <x v="0"/>
    <x v="10"/>
  </r>
  <r>
    <s v="ORD1464"/>
    <x v="3"/>
    <x v="1"/>
    <x v="0"/>
    <x v="2"/>
    <x v="316"/>
    <d v="2023-04-13T00:00:00"/>
    <d v="2024-07-15T00:00:00"/>
    <n v="107"/>
    <n v="439.29"/>
    <n v="8265.82"/>
    <x v="2"/>
    <x v="0"/>
    <x v="0"/>
    <x v="26"/>
  </r>
  <r>
    <s v="ORD1465"/>
    <x v="3"/>
    <x v="2"/>
    <x v="2"/>
    <x v="3"/>
    <x v="171"/>
    <d v="2024-05-21T00:00:00"/>
    <d v="2024-06-11T00:00:00"/>
    <n v="43"/>
    <n v="197.76"/>
    <n v="4567.2"/>
    <x v="0"/>
    <x v="0"/>
    <x v="0"/>
    <x v="25"/>
  </r>
  <r>
    <s v="ORD1466"/>
    <x v="2"/>
    <x v="2"/>
    <x v="0"/>
    <x v="1"/>
    <x v="317"/>
    <d v="2025-01-05T00:00:00"/>
    <d v="2024-08-08T00:00:00"/>
    <n v="80"/>
    <n v="273.17"/>
    <n v="7088.6"/>
    <x v="0"/>
    <x v="0"/>
    <x v="0"/>
    <x v="4"/>
  </r>
  <r>
    <s v="ORD1467"/>
    <x v="3"/>
    <x v="2"/>
    <x v="0"/>
    <x v="2"/>
    <x v="182"/>
    <d v="2024-07-25T00:00:00"/>
    <d v="2024-06-16T00:00:00"/>
    <n v="194"/>
    <n v="484.19"/>
    <n v="7178.15"/>
    <x v="0"/>
    <x v="3"/>
    <x v="0"/>
    <x v="12"/>
  </r>
  <r>
    <s v="ORD1468"/>
    <x v="2"/>
    <x v="2"/>
    <x v="2"/>
    <x v="0"/>
    <x v="318"/>
    <d v="2023-09-05T00:00:00"/>
    <d v="2023-05-31T00:00:00"/>
    <n v="162"/>
    <n v="37.950000000000003"/>
    <n v="6636.04"/>
    <x v="1"/>
    <x v="3"/>
    <x v="0"/>
    <x v="2"/>
  </r>
  <r>
    <s v="ORD1469"/>
    <x v="2"/>
    <x v="2"/>
    <x v="1"/>
    <x v="0"/>
    <x v="319"/>
    <d v="2024-10-02T00:00:00"/>
    <d v="2024-10-31T00:00:00"/>
    <n v="8"/>
    <n v="325.92"/>
    <n v="1089.32"/>
    <x v="1"/>
    <x v="3"/>
    <x v="1"/>
    <x v="8"/>
  </r>
  <r>
    <s v="ORD1470"/>
    <x v="2"/>
    <x v="0"/>
    <x v="1"/>
    <x v="0"/>
    <x v="320"/>
    <d v="2024-06-21T00:00:00"/>
    <d v="2023-11-04T00:00:00"/>
    <n v="141"/>
    <n v="41.68"/>
    <n v="2221.16"/>
    <x v="2"/>
    <x v="3"/>
    <x v="2"/>
    <x v="4"/>
  </r>
  <r>
    <s v="ORD1471"/>
    <x v="2"/>
    <x v="1"/>
    <x v="1"/>
    <x v="2"/>
    <x v="321"/>
    <d v="2023-05-12T00:00:00"/>
    <d v="2024-09-15T00:00:00"/>
    <n v="106"/>
    <n v="190.86"/>
    <n v="4610.32"/>
    <x v="1"/>
    <x v="0"/>
    <x v="2"/>
    <x v="11"/>
  </r>
  <r>
    <s v="ORD1472"/>
    <x v="2"/>
    <x v="1"/>
    <x v="0"/>
    <x v="1"/>
    <x v="119"/>
    <d v="2023-12-20T00:00:00"/>
    <d v="2024-09-15T00:00:00"/>
    <n v="8"/>
    <n v="402.89"/>
    <n v="8866.6299999999992"/>
    <x v="2"/>
    <x v="2"/>
    <x v="2"/>
    <x v="3"/>
  </r>
  <r>
    <s v="ORD1473"/>
    <x v="2"/>
    <x v="1"/>
    <x v="0"/>
    <x v="2"/>
    <x v="139"/>
    <d v="2023-07-16T00:00:00"/>
    <d v="2024-08-08T00:00:00"/>
    <n v="96"/>
    <n v="219.57"/>
    <n v="5130.28"/>
    <x v="0"/>
    <x v="0"/>
    <x v="1"/>
    <x v="24"/>
  </r>
  <r>
    <s v="ORD1474"/>
    <x v="2"/>
    <x v="1"/>
    <x v="1"/>
    <x v="1"/>
    <x v="322"/>
    <d v="2024-10-28T00:00:00"/>
    <d v="2024-11-29T00:00:00"/>
    <n v="94"/>
    <n v="498.61"/>
    <n v="4799.6400000000003"/>
    <x v="0"/>
    <x v="2"/>
    <x v="1"/>
    <x v="16"/>
  </r>
  <r>
    <s v="ORD1475"/>
    <x v="2"/>
    <x v="1"/>
    <x v="0"/>
    <x v="1"/>
    <x v="323"/>
    <d v="2024-01-18T00:00:00"/>
    <d v="2023-08-20T00:00:00"/>
    <n v="65"/>
    <n v="281.73"/>
    <n v="4717.62"/>
    <x v="0"/>
    <x v="1"/>
    <x v="0"/>
    <x v="26"/>
  </r>
  <r>
    <s v="ORD1476"/>
    <x v="2"/>
    <x v="1"/>
    <x v="2"/>
    <x v="0"/>
    <x v="80"/>
    <d v="2024-10-07T00:00:00"/>
    <d v="2023-04-16T00:00:00"/>
    <n v="171"/>
    <n v="163.98"/>
    <n v="5991.7"/>
    <x v="2"/>
    <x v="3"/>
    <x v="0"/>
    <x v="8"/>
  </r>
  <r>
    <s v="ORD1477"/>
    <x v="2"/>
    <x v="1"/>
    <x v="0"/>
    <x v="2"/>
    <x v="116"/>
    <d v="2023-08-16T00:00:00"/>
    <d v="2024-08-13T00:00:00"/>
    <n v="39"/>
    <n v="113.96"/>
    <n v="4717.62"/>
    <x v="0"/>
    <x v="2"/>
    <x v="0"/>
    <x v="5"/>
  </r>
  <r>
    <s v="ORD1478"/>
    <x v="1"/>
    <x v="1"/>
    <x v="0"/>
    <x v="3"/>
    <x v="324"/>
    <d v="2024-12-02T00:00:00"/>
    <d v="2024-02-25T00:00:00"/>
    <n v="81"/>
    <n v="178.51"/>
    <n v="3624.13"/>
    <x v="0"/>
    <x v="1"/>
    <x v="0"/>
    <x v="16"/>
  </r>
  <r>
    <s v="ORD1479"/>
    <x v="0"/>
    <x v="1"/>
    <x v="1"/>
    <x v="3"/>
    <x v="257"/>
    <d v="2024-04-21T00:00:00"/>
    <d v="2023-08-08T00:00:00"/>
    <n v="187"/>
    <n v="189.4"/>
    <n v="9700.77"/>
    <x v="0"/>
    <x v="3"/>
    <x v="2"/>
    <x v="13"/>
  </r>
  <r>
    <s v="ORD1480"/>
    <x v="3"/>
    <x v="0"/>
    <x v="2"/>
    <x v="3"/>
    <x v="258"/>
    <d v="2024-04-22T00:00:00"/>
    <d v="2024-02-15T00:00:00"/>
    <n v="84"/>
    <n v="39.01"/>
    <n v="349.53"/>
    <x v="1"/>
    <x v="2"/>
    <x v="0"/>
    <x v="24"/>
  </r>
  <r>
    <s v="ORD1481"/>
    <x v="1"/>
    <x v="0"/>
    <x v="1"/>
    <x v="3"/>
    <x v="267"/>
    <d v="2023-09-23T00:00:00"/>
    <d v="2024-02-07T00:00:00"/>
    <n v="88"/>
    <n v="187.94"/>
    <n v="8481.51"/>
    <x v="1"/>
    <x v="0"/>
    <x v="0"/>
    <x v="1"/>
  </r>
  <r>
    <s v="ORD1482"/>
    <x v="1"/>
    <x v="0"/>
    <x v="2"/>
    <x v="1"/>
    <x v="140"/>
    <d v="2024-01-08T00:00:00"/>
    <d v="2024-12-19T00:00:00"/>
    <n v="86"/>
    <n v="234.8"/>
    <n v="8218.76"/>
    <x v="0"/>
    <x v="0"/>
    <x v="0"/>
    <x v="8"/>
  </r>
  <r>
    <s v="ORD1483"/>
    <x v="2"/>
    <x v="0"/>
    <x v="2"/>
    <x v="3"/>
    <x v="325"/>
    <d v="2024-05-01T00:00:00"/>
    <d v="2024-12-08T00:00:00"/>
    <n v="93"/>
    <n v="362.76"/>
    <n v="1562.88"/>
    <x v="0"/>
    <x v="3"/>
    <x v="0"/>
    <x v="7"/>
  </r>
  <r>
    <s v="ORD1484"/>
    <x v="2"/>
    <x v="0"/>
    <x v="0"/>
    <x v="2"/>
    <x v="222"/>
    <d v="2024-03-10T00:00:00"/>
    <d v="2024-05-17T00:00:00"/>
    <n v="86"/>
    <n v="330.08"/>
    <n v="240.49"/>
    <x v="0"/>
    <x v="3"/>
    <x v="0"/>
    <x v="0"/>
  </r>
  <r>
    <s v="ORD1485"/>
    <x v="2"/>
    <x v="2"/>
    <x v="1"/>
    <x v="2"/>
    <x v="326"/>
    <d v="2024-10-08T00:00:00"/>
    <d v="2024-04-13T00:00:00"/>
    <n v="44"/>
    <n v="355.84"/>
    <n v="7077.15"/>
    <x v="0"/>
    <x v="0"/>
    <x v="0"/>
    <x v="0"/>
  </r>
  <r>
    <s v="ORD1487"/>
    <x v="0"/>
    <x v="0"/>
    <x v="1"/>
    <x v="2"/>
    <x v="327"/>
    <d v="2024-07-26T00:00:00"/>
    <d v="2025-01-04T00:00:00"/>
    <n v="165"/>
    <n v="112.75"/>
    <n v="8481.51"/>
    <x v="2"/>
    <x v="3"/>
    <x v="1"/>
    <x v="20"/>
  </r>
  <r>
    <s v="ORD1488"/>
    <x v="0"/>
    <x v="0"/>
    <x v="1"/>
    <x v="1"/>
    <x v="324"/>
    <d v="2024-01-13T00:00:00"/>
    <d v="2023-03-27T00:00:00"/>
    <n v="74"/>
    <n v="332.53"/>
    <n v="6976.75"/>
    <x v="2"/>
    <x v="1"/>
    <x v="1"/>
    <x v="26"/>
  </r>
  <r>
    <s v="ORD1489"/>
    <x v="2"/>
    <x v="0"/>
    <x v="0"/>
    <x v="1"/>
    <x v="328"/>
    <d v="2024-01-31T00:00:00"/>
    <d v="2024-08-30T00:00:00"/>
    <n v="36"/>
    <n v="244.57"/>
    <n v="4141.3599999999997"/>
    <x v="2"/>
    <x v="0"/>
    <x v="1"/>
    <x v="20"/>
  </r>
  <r>
    <s v="ORD1490"/>
    <x v="2"/>
    <x v="0"/>
    <x v="0"/>
    <x v="1"/>
    <x v="326"/>
    <d v="2024-03-26T00:00:00"/>
    <d v="2024-11-21T00:00:00"/>
    <n v="101"/>
    <n v="7.63"/>
    <n v="8815.68"/>
    <x v="2"/>
    <x v="3"/>
    <x v="1"/>
    <x v="21"/>
  </r>
  <r>
    <s v="ORD1491"/>
    <x v="2"/>
    <x v="1"/>
    <x v="0"/>
    <x v="1"/>
    <x v="67"/>
    <d v="2023-12-31T00:00:00"/>
    <d v="2024-01-04T00:00:00"/>
    <n v="156"/>
    <n v="403.22"/>
    <n v="5734.04"/>
    <x v="1"/>
    <x v="2"/>
    <x v="1"/>
    <x v="22"/>
  </r>
  <r>
    <s v="ORD1492"/>
    <x v="2"/>
    <x v="1"/>
    <x v="0"/>
    <x v="1"/>
    <x v="108"/>
    <d v="2024-04-02T00:00:00"/>
    <d v="2023-06-16T00:00:00"/>
    <n v="170"/>
    <n v="387.54"/>
    <n v="2892.79"/>
    <x v="0"/>
    <x v="0"/>
    <x v="0"/>
    <x v="19"/>
  </r>
  <r>
    <s v="ORD1493"/>
    <x v="0"/>
    <x v="2"/>
    <x v="2"/>
    <x v="1"/>
    <x v="167"/>
    <d v="2024-12-26T00:00:00"/>
    <d v="2023-02-21T00:00:00"/>
    <n v="171"/>
    <n v="276.47000000000003"/>
    <n v="7634.91"/>
    <x v="0"/>
    <x v="3"/>
    <x v="1"/>
    <x v="16"/>
  </r>
  <r>
    <s v="ORD1494"/>
    <x v="0"/>
    <x v="0"/>
    <x v="1"/>
    <x v="2"/>
    <x v="329"/>
    <d v="2024-12-29T00:00:00"/>
    <d v="2024-05-29T00:00:00"/>
    <n v="170"/>
    <n v="37.9"/>
    <n v="2810.77"/>
    <x v="0"/>
    <x v="3"/>
    <x v="1"/>
    <x v="23"/>
  </r>
  <r>
    <s v="ORD1495"/>
    <x v="0"/>
    <x v="1"/>
    <x v="0"/>
    <x v="1"/>
    <x v="330"/>
    <d v="2023-08-15T00:00:00"/>
    <d v="2023-11-29T00:00:00"/>
    <n v="104"/>
    <n v="384.42"/>
    <n v="5698.89"/>
    <x v="2"/>
    <x v="0"/>
    <x v="1"/>
    <x v="3"/>
  </r>
  <r>
    <s v="ORD1496"/>
    <x v="3"/>
    <x v="1"/>
    <x v="1"/>
    <x v="2"/>
    <x v="143"/>
    <d v="2023-05-12T00:00:00"/>
    <d v="2023-04-30T00:00:00"/>
    <n v="66"/>
    <n v="293.94"/>
    <n v="5489.62"/>
    <x v="0"/>
    <x v="3"/>
    <x v="1"/>
    <x v="22"/>
  </r>
  <r>
    <s v="ORD1498"/>
    <x v="3"/>
    <x v="2"/>
    <x v="0"/>
    <x v="2"/>
    <x v="314"/>
    <d v="2024-04-21T00:00:00"/>
    <d v="2025-01-10T00:00:00"/>
    <m/>
    <n v="377.11"/>
    <n v="2221.16"/>
    <x v="1"/>
    <x v="3"/>
    <x v="2"/>
    <x v="13"/>
  </r>
  <r>
    <s v="ORD1499"/>
    <x v="0"/>
    <x v="0"/>
    <x v="0"/>
    <x v="2"/>
    <x v="293"/>
    <d v="2023-10-05T00:00:00"/>
    <d v="2023-05-31T00:00:00"/>
    <n v="176"/>
    <n v="402.49"/>
    <n v="1414.63"/>
    <x v="2"/>
    <x v="3"/>
    <x v="0"/>
    <x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5222EE-0BF3-4CAC-B7DB-880B1DDFF9E8}"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fieldListSortAscending="1">
  <location ref="B37:C42" firstHeaderRow="1" firstDataRow="1" firstDataCol="1"/>
  <pivotFields count="18">
    <pivotField dataField="1" showAll="0"/>
    <pivotField showAll="0"/>
    <pivotField showAll="0"/>
    <pivotField showAll="0"/>
    <pivotField showAll="0"/>
    <pivotField showAll="0">
      <items count="332">
        <item x="5"/>
        <item x="95"/>
        <item x="56"/>
        <item x="241"/>
        <item x="327"/>
        <item x="119"/>
        <item x="198"/>
        <item x="301"/>
        <item x="314"/>
        <item x="31"/>
        <item x="73"/>
        <item x="254"/>
        <item x="117"/>
        <item x="320"/>
        <item x="106"/>
        <item x="101"/>
        <item x="234"/>
        <item x="67"/>
        <item x="127"/>
        <item x="129"/>
        <item x="81"/>
        <item x="9"/>
        <item x="197"/>
        <item x="271"/>
        <item x="180"/>
        <item x="133"/>
        <item x="286"/>
        <item x="45"/>
        <item x="179"/>
        <item x="170"/>
        <item x="169"/>
        <item x="154"/>
        <item x="257"/>
        <item x="278"/>
        <item x="274"/>
        <item x="107"/>
        <item x="57"/>
        <item x="326"/>
        <item x="19"/>
        <item x="96"/>
        <item x="261"/>
        <item x="321"/>
        <item x="275"/>
        <item x="230"/>
        <item x="27"/>
        <item x="207"/>
        <item x="91"/>
        <item x="100"/>
        <item x="251"/>
        <item x="219"/>
        <item x="187"/>
        <item x="77"/>
        <item x="114"/>
        <item x="315"/>
        <item x="78"/>
        <item x="259"/>
        <item x="317"/>
        <item x="182"/>
        <item x="64"/>
        <item x="240"/>
        <item x="82"/>
        <item x="47"/>
        <item x="90"/>
        <item x="0"/>
        <item x="136"/>
        <item x="6"/>
        <item x="175"/>
        <item x="125"/>
        <item x="62"/>
        <item x="292"/>
        <item x="89"/>
        <item x="237"/>
        <item x="22"/>
        <item x="150"/>
        <item x="17"/>
        <item x="250"/>
        <item x="134"/>
        <item x="109"/>
        <item x="258"/>
        <item x="223"/>
        <item x="295"/>
        <item x="277"/>
        <item x="313"/>
        <item x="226"/>
        <item x="324"/>
        <item x="135"/>
        <item x="245"/>
        <item x="194"/>
        <item x="184"/>
        <item x="302"/>
        <item x="238"/>
        <item x="165"/>
        <item x="13"/>
        <item x="61"/>
        <item x="311"/>
        <item x="176"/>
        <item x="285"/>
        <item x="322"/>
        <item x="204"/>
        <item x="252"/>
        <item x="233"/>
        <item x="104"/>
        <item x="139"/>
        <item x="231"/>
        <item x="298"/>
        <item x="209"/>
        <item x="248"/>
        <item x="157"/>
        <item x="280"/>
        <item x="228"/>
        <item x="98"/>
        <item x="188"/>
        <item x="246"/>
        <item x="54"/>
        <item x="115"/>
        <item x="36"/>
        <item x="162"/>
        <item x="323"/>
        <item x="211"/>
        <item x="7"/>
        <item x="166"/>
        <item x="249"/>
        <item x="53"/>
        <item x="65"/>
        <item x="66"/>
        <item x="164"/>
        <item x="3"/>
        <item x="10"/>
        <item x="51"/>
        <item x="308"/>
        <item x="193"/>
        <item x="103"/>
        <item x="229"/>
        <item x="158"/>
        <item x="210"/>
        <item x="24"/>
        <item x="69"/>
        <item x="58"/>
        <item x="276"/>
        <item x="38"/>
        <item x="84"/>
        <item x="76"/>
        <item x="305"/>
        <item x="221"/>
        <item x="181"/>
        <item x="68"/>
        <item x="40"/>
        <item x="4"/>
        <item x="205"/>
        <item x="99"/>
        <item x="168"/>
        <item x="185"/>
        <item x="11"/>
        <item x="112"/>
        <item x="71"/>
        <item x="37"/>
        <item x="85"/>
        <item x="161"/>
        <item x="110"/>
        <item x="120"/>
        <item x="283"/>
        <item x="26"/>
        <item x="269"/>
        <item x="108"/>
        <item x="296"/>
        <item x="265"/>
        <item x="256"/>
        <item x="316"/>
        <item x="307"/>
        <item x="35"/>
        <item x="79"/>
        <item x="200"/>
        <item x="243"/>
        <item x="212"/>
        <item x="74"/>
        <item x="330"/>
        <item x="325"/>
        <item x="50"/>
        <item x="149"/>
        <item x="92"/>
        <item x="284"/>
        <item x="300"/>
        <item x="171"/>
        <item x="72"/>
        <item x="174"/>
        <item x="236"/>
        <item x="148"/>
        <item x="329"/>
        <item x="253"/>
        <item x="138"/>
        <item x="156"/>
        <item x="189"/>
        <item x="105"/>
        <item x="196"/>
        <item x="264"/>
        <item x="222"/>
        <item x="59"/>
        <item x="191"/>
        <item x="32"/>
        <item x="41"/>
        <item x="213"/>
        <item x="273"/>
        <item x="97"/>
        <item x="214"/>
        <item x="239"/>
        <item x="272"/>
        <item x="306"/>
        <item x="227"/>
        <item x="267"/>
        <item x="83"/>
        <item x="186"/>
        <item x="49"/>
        <item x="192"/>
        <item x="217"/>
        <item x="33"/>
        <item x="143"/>
        <item x="287"/>
        <item x="23"/>
        <item x="232"/>
        <item x="303"/>
        <item x="28"/>
        <item x="52"/>
        <item x="70"/>
        <item x="216"/>
        <item x="328"/>
        <item x="155"/>
        <item x="294"/>
        <item x="201"/>
        <item x="173"/>
        <item x="291"/>
        <item x="118"/>
        <item x="151"/>
        <item x="242"/>
        <item x="131"/>
        <item x="263"/>
        <item x="247"/>
        <item x="1"/>
        <item x="87"/>
        <item x="203"/>
        <item x="262"/>
        <item x="309"/>
        <item x="190"/>
        <item x="215"/>
        <item x="282"/>
        <item x="160"/>
        <item x="113"/>
        <item x="319"/>
        <item x="142"/>
        <item x="178"/>
        <item x="86"/>
        <item x="318"/>
        <item x="290"/>
        <item x="15"/>
        <item x="220"/>
        <item x="128"/>
        <item x="140"/>
        <item x="102"/>
        <item x="124"/>
        <item x="16"/>
        <item x="21"/>
        <item x="153"/>
        <item x="299"/>
        <item x="34"/>
        <item x="159"/>
        <item x="42"/>
        <item x="12"/>
        <item x="48"/>
        <item x="260"/>
        <item x="279"/>
        <item x="25"/>
        <item x="132"/>
        <item x="30"/>
        <item x="281"/>
        <item x="195"/>
        <item x="75"/>
        <item x="167"/>
        <item x="55"/>
        <item x="310"/>
        <item x="312"/>
        <item x="206"/>
        <item x="288"/>
        <item x="60"/>
        <item x="208"/>
        <item x="145"/>
        <item x="121"/>
        <item x="122"/>
        <item x="39"/>
        <item x="268"/>
        <item x="29"/>
        <item x="293"/>
        <item x="2"/>
        <item x="152"/>
        <item x="255"/>
        <item x="8"/>
        <item x="44"/>
        <item x="202"/>
        <item x="199"/>
        <item x="94"/>
        <item x="146"/>
        <item x="147"/>
        <item x="218"/>
        <item x="130"/>
        <item x="63"/>
        <item x="225"/>
        <item x="88"/>
        <item x="93"/>
        <item x="266"/>
        <item x="144"/>
        <item x="244"/>
        <item x="137"/>
        <item x="235"/>
        <item x="18"/>
        <item x="123"/>
        <item x="111"/>
        <item x="141"/>
        <item x="20"/>
        <item x="270"/>
        <item x="304"/>
        <item x="163"/>
        <item x="224"/>
        <item x="289"/>
        <item x="14"/>
        <item x="172"/>
        <item x="46"/>
        <item x="177"/>
        <item x="80"/>
        <item x="126"/>
        <item x="43"/>
        <item x="116"/>
        <item x="183"/>
        <item x="297"/>
        <item t="default"/>
      </items>
    </pivotField>
    <pivotField showAll="0"/>
    <pivotField showAll="0"/>
    <pivotField showAll="0"/>
    <pivotField showAll="0"/>
    <pivotField showAll="0"/>
    <pivotField showAll="0">
      <items count="5">
        <item x="0"/>
        <item h="1" m="1" x="3"/>
        <item h="1" x="1"/>
        <item h="1" x="2"/>
        <item t="default"/>
      </items>
    </pivotField>
    <pivotField axis="axisRow" showAll="0">
      <items count="5">
        <item x="3"/>
        <item x="1"/>
        <item x="2"/>
        <item x="0"/>
        <item t="default"/>
      </items>
    </pivotField>
    <pivotField showAll="0"/>
    <pivotField showAll="0"/>
    <pivotField showAll="0">
      <items count="15">
        <item h="1" sd="0" x="0"/>
        <item h="1" sd="0" x="1"/>
        <item h="1" sd="0" x="2"/>
        <item sd="0" x="3"/>
        <item sd="0" x="4"/>
        <item sd="0" x="5"/>
        <item sd="0" x="6"/>
        <item sd="0" x="7"/>
        <item sd="0" x="8"/>
        <item sd="0" x="9"/>
        <item sd="0" x="10"/>
        <item sd="0" x="11"/>
        <item h="1" sd="0" x="12"/>
        <item h="1"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Fields count="1">
    <field x="12"/>
  </rowFields>
  <rowItems count="5">
    <i>
      <x/>
    </i>
    <i>
      <x v="1"/>
    </i>
    <i>
      <x v="2"/>
    </i>
    <i>
      <x v="3"/>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756B93-52CB-46A9-8337-3FE02DC0A896}"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fieldListSortAscending="1">
  <location ref="F56:G61" firstHeaderRow="1" firstDataRow="1" firstDataCol="1"/>
  <pivotFields count="18">
    <pivotField showAll="0"/>
    <pivotField showAll="0"/>
    <pivotField showAll="0"/>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items count="332">
        <item x="5"/>
        <item x="95"/>
        <item x="56"/>
        <item x="241"/>
        <item x="327"/>
        <item x="119"/>
        <item x="198"/>
        <item x="301"/>
        <item x="314"/>
        <item x="31"/>
        <item x="73"/>
        <item x="254"/>
        <item x="117"/>
        <item x="320"/>
        <item x="106"/>
        <item x="101"/>
        <item x="234"/>
        <item x="67"/>
        <item x="127"/>
        <item x="129"/>
        <item x="81"/>
        <item x="9"/>
        <item x="197"/>
        <item x="271"/>
        <item x="180"/>
        <item x="133"/>
        <item x="286"/>
        <item x="45"/>
        <item x="179"/>
        <item x="170"/>
        <item x="169"/>
        <item x="154"/>
        <item x="257"/>
        <item x="278"/>
        <item x="274"/>
        <item x="107"/>
        <item x="57"/>
        <item x="326"/>
        <item x="19"/>
        <item x="96"/>
        <item x="261"/>
        <item x="321"/>
        <item x="275"/>
        <item x="230"/>
        <item x="27"/>
        <item x="207"/>
        <item x="91"/>
        <item x="100"/>
        <item x="251"/>
        <item x="219"/>
        <item x="187"/>
        <item x="77"/>
        <item x="114"/>
        <item x="315"/>
        <item x="78"/>
        <item x="259"/>
        <item x="317"/>
        <item x="182"/>
        <item x="64"/>
        <item x="240"/>
        <item x="82"/>
        <item x="47"/>
        <item x="90"/>
        <item x="0"/>
        <item x="136"/>
        <item x="6"/>
        <item x="175"/>
        <item x="125"/>
        <item x="62"/>
        <item x="292"/>
        <item x="89"/>
        <item x="237"/>
        <item x="22"/>
        <item x="150"/>
        <item x="17"/>
        <item x="250"/>
        <item x="134"/>
        <item x="109"/>
        <item x="258"/>
        <item x="223"/>
        <item x="295"/>
        <item x="277"/>
        <item x="313"/>
        <item x="226"/>
        <item x="324"/>
        <item x="135"/>
        <item x="245"/>
        <item x="194"/>
        <item x="184"/>
        <item x="302"/>
        <item x="238"/>
        <item x="165"/>
        <item x="13"/>
        <item x="61"/>
        <item x="311"/>
        <item x="176"/>
        <item x="285"/>
        <item x="322"/>
        <item x="204"/>
        <item x="252"/>
        <item x="233"/>
        <item x="104"/>
        <item x="139"/>
        <item x="231"/>
        <item x="298"/>
        <item x="209"/>
        <item x="248"/>
        <item x="157"/>
        <item x="280"/>
        <item x="228"/>
        <item x="98"/>
        <item x="188"/>
        <item x="246"/>
        <item x="54"/>
        <item x="115"/>
        <item x="36"/>
        <item x="162"/>
        <item x="323"/>
        <item x="211"/>
        <item x="7"/>
        <item x="166"/>
        <item x="249"/>
        <item x="53"/>
        <item x="65"/>
        <item x="66"/>
        <item x="164"/>
        <item x="3"/>
        <item x="10"/>
        <item x="51"/>
        <item x="308"/>
        <item x="193"/>
        <item x="103"/>
        <item x="229"/>
        <item x="158"/>
        <item x="210"/>
        <item x="24"/>
        <item x="69"/>
        <item x="58"/>
        <item x="276"/>
        <item x="38"/>
        <item x="84"/>
        <item x="76"/>
        <item x="305"/>
        <item x="221"/>
        <item x="181"/>
        <item x="68"/>
        <item x="40"/>
        <item x="4"/>
        <item x="205"/>
        <item x="99"/>
        <item x="168"/>
        <item x="185"/>
        <item x="11"/>
        <item x="112"/>
        <item x="71"/>
        <item x="37"/>
        <item x="85"/>
        <item x="161"/>
        <item x="110"/>
        <item x="120"/>
        <item x="283"/>
        <item x="26"/>
        <item x="269"/>
        <item x="108"/>
        <item x="296"/>
        <item x="265"/>
        <item x="256"/>
        <item x="316"/>
        <item x="307"/>
        <item x="35"/>
        <item x="79"/>
        <item x="200"/>
        <item x="243"/>
        <item x="212"/>
        <item x="74"/>
        <item x="330"/>
        <item x="325"/>
        <item x="50"/>
        <item x="149"/>
        <item x="92"/>
        <item x="284"/>
        <item x="300"/>
        <item x="171"/>
        <item x="72"/>
        <item x="174"/>
        <item x="236"/>
        <item x="148"/>
        <item x="329"/>
        <item x="253"/>
        <item x="138"/>
        <item x="156"/>
        <item x="189"/>
        <item x="105"/>
        <item x="196"/>
        <item x="264"/>
        <item x="222"/>
        <item x="59"/>
        <item x="191"/>
        <item x="32"/>
        <item x="41"/>
        <item x="213"/>
        <item x="273"/>
        <item x="97"/>
        <item x="214"/>
        <item x="239"/>
        <item x="272"/>
        <item x="306"/>
        <item x="227"/>
        <item x="267"/>
        <item x="83"/>
        <item x="186"/>
        <item x="49"/>
        <item x="192"/>
        <item x="217"/>
        <item x="33"/>
        <item x="143"/>
        <item x="287"/>
        <item x="23"/>
        <item x="232"/>
        <item x="303"/>
        <item x="28"/>
        <item x="52"/>
        <item x="70"/>
        <item x="216"/>
        <item x="328"/>
        <item x="155"/>
        <item x="294"/>
        <item x="201"/>
        <item x="173"/>
        <item x="291"/>
        <item x="118"/>
        <item x="151"/>
        <item x="242"/>
        <item x="131"/>
        <item x="263"/>
        <item x="247"/>
        <item x="1"/>
        <item x="87"/>
        <item x="203"/>
        <item x="262"/>
        <item x="309"/>
        <item x="190"/>
        <item x="215"/>
        <item x="282"/>
        <item x="160"/>
        <item x="113"/>
        <item x="319"/>
        <item x="142"/>
        <item x="178"/>
        <item x="86"/>
        <item x="318"/>
        <item x="290"/>
        <item x="15"/>
        <item x="220"/>
        <item x="128"/>
        <item x="140"/>
        <item x="102"/>
        <item x="124"/>
        <item x="16"/>
        <item x="21"/>
        <item x="153"/>
        <item x="299"/>
        <item x="34"/>
        <item x="159"/>
        <item x="42"/>
        <item x="12"/>
        <item x="48"/>
        <item x="260"/>
        <item x="279"/>
        <item x="25"/>
        <item x="132"/>
        <item x="30"/>
        <item x="281"/>
        <item x="195"/>
        <item x="75"/>
        <item x="167"/>
        <item x="55"/>
        <item x="310"/>
        <item x="312"/>
        <item x="206"/>
        <item x="288"/>
        <item x="60"/>
        <item x="208"/>
        <item x="145"/>
        <item x="121"/>
        <item x="122"/>
        <item x="39"/>
        <item x="268"/>
        <item x="29"/>
        <item x="293"/>
        <item x="2"/>
        <item x="152"/>
        <item x="255"/>
        <item x="8"/>
        <item x="44"/>
        <item x="202"/>
        <item x="199"/>
        <item x="94"/>
        <item x="146"/>
        <item x="147"/>
        <item x="218"/>
        <item x="130"/>
        <item x="63"/>
        <item x="225"/>
        <item x="88"/>
        <item x="93"/>
        <item x="266"/>
        <item x="144"/>
        <item x="244"/>
        <item x="137"/>
        <item x="235"/>
        <item x="18"/>
        <item x="123"/>
        <item x="111"/>
        <item x="141"/>
        <item x="20"/>
        <item x="270"/>
        <item x="304"/>
        <item x="163"/>
        <item x="224"/>
        <item x="289"/>
        <item x="14"/>
        <item x="172"/>
        <item x="46"/>
        <item x="177"/>
        <item x="80"/>
        <item x="126"/>
        <item x="43"/>
        <item x="116"/>
        <item x="183"/>
        <item x="297"/>
        <item t="default"/>
      </items>
    </pivotField>
    <pivotField showAll="0"/>
    <pivotField showAll="0"/>
    <pivotField showAll="0"/>
    <pivotField showAll="0"/>
    <pivotField dataField="1" showAll="0"/>
    <pivotField showAll="0">
      <items count="5">
        <item x="0"/>
        <item h="1" m="1" x="3"/>
        <item h="1" x="1"/>
        <item h="1" x="2"/>
        <item t="default"/>
      </items>
    </pivotField>
    <pivotField showAll="0"/>
    <pivotField showAll="0"/>
    <pivotField showAll="0"/>
    <pivotField showAll="0">
      <items count="15">
        <item h="1" sd="0" x="0"/>
        <item h="1" sd="0" x="1"/>
        <item h="1" sd="0" x="2"/>
        <item sd="0" x="3"/>
        <item sd="0" x="4"/>
        <item sd="0" x="5"/>
        <item sd="0" x="6"/>
        <item sd="0" x="7"/>
        <item sd="0" x="8"/>
        <item sd="0" x="9"/>
        <item sd="0" x="10"/>
        <item sd="0" x="11"/>
        <item h="1" sd="0" x="12"/>
        <item h="1"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Fields count="1">
    <field x="4"/>
  </rowFields>
  <rowItems count="5">
    <i>
      <x v="1"/>
    </i>
    <i>
      <x v="2"/>
    </i>
    <i>
      <x v="3"/>
    </i>
    <i>
      <x/>
    </i>
    <i t="grand">
      <x/>
    </i>
  </rowItems>
  <colItems count="1">
    <i/>
  </colItems>
  <dataFields count="1">
    <dataField name="Sum of Total_Cost" fld="10" baseField="0" baseItem="0"/>
  </dataFields>
  <chartFormats count="1">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BD924A-BAE2-462B-B455-2001652B3672}"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fieldListSortAscending="1">
  <location ref="B89:C93" firstHeaderRow="1" firstDataRow="1" firstDataCol="1"/>
  <pivotFields count="18">
    <pivotField showAll="0"/>
    <pivotField showAll="0"/>
    <pivotField axis="axisRow" showAll="0">
      <items count="4">
        <item x="2"/>
        <item x="0"/>
        <item x="1"/>
        <item t="default"/>
      </items>
    </pivotField>
    <pivotField showAll="0"/>
    <pivotField showAll="0"/>
    <pivotField showAll="0">
      <items count="332">
        <item x="5"/>
        <item x="95"/>
        <item x="56"/>
        <item x="241"/>
        <item x="327"/>
        <item x="119"/>
        <item x="198"/>
        <item x="301"/>
        <item x="314"/>
        <item x="31"/>
        <item x="73"/>
        <item x="254"/>
        <item x="117"/>
        <item x="320"/>
        <item x="106"/>
        <item x="101"/>
        <item x="234"/>
        <item x="67"/>
        <item x="127"/>
        <item x="129"/>
        <item x="81"/>
        <item x="9"/>
        <item x="197"/>
        <item x="271"/>
        <item x="180"/>
        <item x="133"/>
        <item x="286"/>
        <item x="45"/>
        <item x="179"/>
        <item x="170"/>
        <item x="169"/>
        <item x="154"/>
        <item x="257"/>
        <item x="278"/>
        <item x="274"/>
        <item x="107"/>
        <item x="57"/>
        <item x="326"/>
        <item x="19"/>
        <item x="96"/>
        <item x="261"/>
        <item x="321"/>
        <item x="275"/>
        <item x="230"/>
        <item x="27"/>
        <item x="207"/>
        <item x="91"/>
        <item x="100"/>
        <item x="251"/>
        <item x="219"/>
        <item x="187"/>
        <item x="77"/>
        <item x="114"/>
        <item x="315"/>
        <item x="78"/>
        <item x="259"/>
        <item x="317"/>
        <item x="182"/>
        <item x="64"/>
        <item x="240"/>
        <item x="82"/>
        <item x="47"/>
        <item x="90"/>
        <item x="0"/>
        <item x="136"/>
        <item x="6"/>
        <item x="175"/>
        <item x="125"/>
        <item x="62"/>
        <item x="292"/>
        <item x="89"/>
        <item x="237"/>
        <item x="22"/>
        <item x="150"/>
        <item x="17"/>
        <item x="250"/>
        <item x="134"/>
        <item x="109"/>
        <item x="258"/>
        <item x="223"/>
        <item x="295"/>
        <item x="277"/>
        <item x="313"/>
        <item x="226"/>
        <item x="324"/>
        <item x="135"/>
        <item x="245"/>
        <item x="194"/>
        <item x="184"/>
        <item x="302"/>
        <item x="238"/>
        <item x="165"/>
        <item x="13"/>
        <item x="61"/>
        <item x="311"/>
        <item x="176"/>
        <item x="285"/>
        <item x="322"/>
        <item x="204"/>
        <item x="252"/>
        <item x="233"/>
        <item x="104"/>
        <item x="139"/>
        <item x="231"/>
        <item x="298"/>
        <item x="209"/>
        <item x="248"/>
        <item x="157"/>
        <item x="280"/>
        <item x="228"/>
        <item x="98"/>
        <item x="188"/>
        <item x="246"/>
        <item x="54"/>
        <item x="115"/>
        <item x="36"/>
        <item x="162"/>
        <item x="323"/>
        <item x="211"/>
        <item x="7"/>
        <item x="166"/>
        <item x="249"/>
        <item x="53"/>
        <item x="65"/>
        <item x="66"/>
        <item x="164"/>
        <item x="3"/>
        <item x="10"/>
        <item x="51"/>
        <item x="308"/>
        <item x="193"/>
        <item x="103"/>
        <item x="229"/>
        <item x="158"/>
        <item x="210"/>
        <item x="24"/>
        <item x="69"/>
        <item x="58"/>
        <item x="276"/>
        <item x="38"/>
        <item x="84"/>
        <item x="76"/>
        <item x="305"/>
        <item x="221"/>
        <item x="181"/>
        <item x="68"/>
        <item x="40"/>
        <item x="4"/>
        <item x="205"/>
        <item x="99"/>
        <item x="168"/>
        <item x="185"/>
        <item x="11"/>
        <item x="112"/>
        <item x="71"/>
        <item x="37"/>
        <item x="85"/>
        <item x="161"/>
        <item x="110"/>
        <item x="120"/>
        <item x="283"/>
        <item x="26"/>
        <item x="269"/>
        <item x="108"/>
        <item x="296"/>
        <item x="265"/>
        <item x="256"/>
        <item x="316"/>
        <item x="307"/>
        <item x="35"/>
        <item x="79"/>
        <item x="200"/>
        <item x="243"/>
        <item x="212"/>
        <item x="74"/>
        <item x="330"/>
        <item x="325"/>
        <item x="50"/>
        <item x="149"/>
        <item x="92"/>
        <item x="284"/>
        <item x="300"/>
        <item x="171"/>
        <item x="72"/>
        <item x="174"/>
        <item x="236"/>
        <item x="148"/>
        <item x="329"/>
        <item x="253"/>
        <item x="138"/>
        <item x="156"/>
        <item x="189"/>
        <item x="105"/>
        <item x="196"/>
        <item x="264"/>
        <item x="222"/>
        <item x="59"/>
        <item x="191"/>
        <item x="32"/>
        <item x="41"/>
        <item x="213"/>
        <item x="273"/>
        <item x="97"/>
        <item x="214"/>
        <item x="239"/>
        <item x="272"/>
        <item x="306"/>
        <item x="227"/>
        <item x="267"/>
        <item x="83"/>
        <item x="186"/>
        <item x="49"/>
        <item x="192"/>
        <item x="217"/>
        <item x="33"/>
        <item x="143"/>
        <item x="287"/>
        <item x="23"/>
        <item x="232"/>
        <item x="303"/>
        <item x="28"/>
        <item x="52"/>
        <item x="70"/>
        <item x="216"/>
        <item x="328"/>
        <item x="155"/>
        <item x="294"/>
        <item x="201"/>
        <item x="173"/>
        <item x="291"/>
        <item x="118"/>
        <item x="151"/>
        <item x="242"/>
        <item x="131"/>
        <item x="263"/>
        <item x="247"/>
        <item x="1"/>
        <item x="87"/>
        <item x="203"/>
        <item x="262"/>
        <item x="309"/>
        <item x="190"/>
        <item x="215"/>
        <item x="282"/>
        <item x="160"/>
        <item x="113"/>
        <item x="319"/>
        <item x="142"/>
        <item x="178"/>
        <item x="86"/>
        <item x="318"/>
        <item x="290"/>
        <item x="15"/>
        <item x="220"/>
        <item x="128"/>
        <item x="140"/>
        <item x="102"/>
        <item x="124"/>
        <item x="16"/>
        <item x="21"/>
        <item x="153"/>
        <item x="299"/>
        <item x="34"/>
        <item x="159"/>
        <item x="42"/>
        <item x="12"/>
        <item x="48"/>
        <item x="260"/>
        <item x="279"/>
        <item x="25"/>
        <item x="132"/>
        <item x="30"/>
        <item x="281"/>
        <item x="195"/>
        <item x="75"/>
        <item x="167"/>
        <item x="55"/>
        <item x="310"/>
        <item x="312"/>
        <item x="206"/>
        <item x="288"/>
        <item x="60"/>
        <item x="208"/>
        <item x="145"/>
        <item x="121"/>
        <item x="122"/>
        <item x="39"/>
        <item x="268"/>
        <item x="29"/>
        <item x="293"/>
        <item x="2"/>
        <item x="152"/>
        <item x="255"/>
        <item x="8"/>
        <item x="44"/>
        <item x="202"/>
        <item x="199"/>
        <item x="94"/>
        <item x="146"/>
        <item x="147"/>
        <item x="218"/>
        <item x="130"/>
        <item x="63"/>
        <item x="225"/>
        <item x="88"/>
        <item x="93"/>
        <item x="266"/>
        <item x="144"/>
        <item x="244"/>
        <item x="137"/>
        <item x="235"/>
        <item x="18"/>
        <item x="123"/>
        <item x="111"/>
        <item x="141"/>
        <item x="20"/>
        <item x="270"/>
        <item x="304"/>
        <item x="163"/>
        <item x="224"/>
        <item x="289"/>
        <item x="14"/>
        <item x="172"/>
        <item x="46"/>
        <item x="177"/>
        <item x="80"/>
        <item x="126"/>
        <item x="43"/>
        <item x="116"/>
        <item x="183"/>
        <item x="297"/>
        <item t="default"/>
      </items>
    </pivotField>
    <pivotField showAll="0"/>
    <pivotField showAll="0"/>
    <pivotField dataField="1" showAll="0"/>
    <pivotField showAll="0"/>
    <pivotField showAll="0"/>
    <pivotField showAll="0">
      <items count="5">
        <item x="0"/>
        <item h="1" m="1" x="3"/>
        <item h="1" x="1"/>
        <item h="1"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sd="0" x="2"/>
        <item h="1" sd="0" x="3"/>
        <item h="1" sd="0" x="4"/>
        <item t="default"/>
      </items>
    </pivotField>
  </pivotFields>
  <rowFields count="1">
    <field x="2"/>
  </rowFields>
  <rowItems count="4">
    <i>
      <x/>
    </i>
    <i>
      <x v="1"/>
    </i>
    <i>
      <x v="2"/>
    </i>
    <i t="grand">
      <x/>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A34329-C3E2-4276-882A-46BD83EC49CA}"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fieldListSortAscending="1">
  <location ref="H70:K84" firstHeaderRow="1" firstDataRow="2" firstDataCol="1"/>
  <pivotFields count="18">
    <pivotField showAll="0"/>
    <pivotField showAll="0"/>
    <pivotField showAll="0"/>
    <pivotField showAll="0"/>
    <pivotField showAll="0"/>
    <pivotField showAll="0">
      <items count="332">
        <item x="5"/>
        <item x="95"/>
        <item x="56"/>
        <item x="241"/>
        <item x="327"/>
        <item x="119"/>
        <item x="198"/>
        <item x="301"/>
        <item x="314"/>
        <item x="31"/>
        <item x="73"/>
        <item x="254"/>
        <item x="117"/>
        <item x="320"/>
        <item x="106"/>
        <item x="101"/>
        <item x="234"/>
        <item x="67"/>
        <item x="127"/>
        <item x="129"/>
        <item x="81"/>
        <item x="9"/>
        <item x="197"/>
        <item x="271"/>
        <item x="180"/>
        <item x="133"/>
        <item x="286"/>
        <item x="45"/>
        <item x="179"/>
        <item x="170"/>
        <item x="169"/>
        <item x="154"/>
        <item x="257"/>
        <item x="278"/>
        <item x="274"/>
        <item x="107"/>
        <item x="57"/>
        <item x="326"/>
        <item x="19"/>
        <item x="96"/>
        <item x="261"/>
        <item x="321"/>
        <item x="275"/>
        <item x="230"/>
        <item x="27"/>
        <item x="207"/>
        <item x="91"/>
        <item x="100"/>
        <item x="251"/>
        <item x="219"/>
        <item x="187"/>
        <item x="77"/>
        <item x="114"/>
        <item x="315"/>
        <item x="78"/>
        <item x="259"/>
        <item x="317"/>
        <item x="182"/>
        <item x="64"/>
        <item x="240"/>
        <item x="82"/>
        <item x="47"/>
        <item x="90"/>
        <item x="0"/>
        <item x="136"/>
        <item x="6"/>
        <item x="175"/>
        <item x="125"/>
        <item x="62"/>
        <item x="292"/>
        <item x="89"/>
        <item x="237"/>
        <item x="22"/>
        <item x="150"/>
        <item x="17"/>
        <item x="250"/>
        <item x="134"/>
        <item x="109"/>
        <item x="258"/>
        <item x="223"/>
        <item x="295"/>
        <item x="277"/>
        <item x="313"/>
        <item x="226"/>
        <item x="324"/>
        <item x="135"/>
        <item x="245"/>
        <item x="194"/>
        <item x="184"/>
        <item x="302"/>
        <item x="238"/>
        <item x="165"/>
        <item x="13"/>
        <item x="61"/>
        <item x="311"/>
        <item x="176"/>
        <item x="285"/>
        <item x="322"/>
        <item x="204"/>
        <item x="252"/>
        <item x="233"/>
        <item x="104"/>
        <item x="139"/>
        <item x="231"/>
        <item x="298"/>
        <item x="209"/>
        <item x="248"/>
        <item x="157"/>
        <item x="280"/>
        <item x="228"/>
        <item x="98"/>
        <item x="188"/>
        <item x="246"/>
        <item x="54"/>
        <item x="115"/>
        <item x="36"/>
        <item x="162"/>
        <item x="323"/>
        <item x="211"/>
        <item x="7"/>
        <item x="166"/>
        <item x="249"/>
        <item x="53"/>
        <item x="65"/>
        <item x="66"/>
        <item x="164"/>
        <item x="3"/>
        <item x="10"/>
        <item x="51"/>
        <item x="308"/>
        <item x="193"/>
        <item x="103"/>
        <item x="229"/>
        <item x="158"/>
        <item x="210"/>
        <item x="24"/>
        <item x="69"/>
        <item x="58"/>
        <item x="276"/>
        <item x="38"/>
        <item x="84"/>
        <item x="76"/>
        <item x="305"/>
        <item x="221"/>
        <item x="181"/>
        <item x="68"/>
        <item x="40"/>
        <item x="4"/>
        <item x="205"/>
        <item x="99"/>
        <item x="168"/>
        <item x="185"/>
        <item x="11"/>
        <item x="112"/>
        <item x="71"/>
        <item x="37"/>
        <item x="85"/>
        <item x="161"/>
        <item x="110"/>
        <item x="120"/>
        <item x="283"/>
        <item x="26"/>
        <item x="269"/>
        <item x="108"/>
        <item x="296"/>
        <item x="265"/>
        <item x="256"/>
        <item x="316"/>
        <item x="307"/>
        <item x="35"/>
        <item x="79"/>
        <item x="200"/>
        <item x="243"/>
        <item x="212"/>
        <item x="74"/>
        <item x="330"/>
        <item x="325"/>
        <item x="50"/>
        <item x="149"/>
        <item x="92"/>
        <item x="284"/>
        <item x="300"/>
        <item x="171"/>
        <item x="72"/>
        <item x="174"/>
        <item x="236"/>
        <item x="148"/>
        <item x="329"/>
        <item x="253"/>
        <item x="138"/>
        <item x="156"/>
        <item x="189"/>
        <item x="105"/>
        <item x="196"/>
        <item x="264"/>
        <item x="222"/>
        <item x="59"/>
        <item x="191"/>
        <item x="32"/>
        <item x="41"/>
        <item x="213"/>
        <item x="273"/>
        <item x="97"/>
        <item x="214"/>
        <item x="239"/>
        <item x="272"/>
        <item x="306"/>
        <item x="227"/>
        <item x="267"/>
        <item x="83"/>
        <item x="186"/>
        <item x="49"/>
        <item x="192"/>
        <item x="217"/>
        <item x="33"/>
        <item x="143"/>
        <item x="287"/>
        <item x="23"/>
        <item x="232"/>
        <item x="303"/>
        <item x="28"/>
        <item x="52"/>
        <item x="70"/>
        <item x="216"/>
        <item x="328"/>
        <item x="155"/>
        <item x="294"/>
        <item x="201"/>
        <item x="173"/>
        <item x="291"/>
        <item x="118"/>
        <item x="151"/>
        <item x="242"/>
        <item x="131"/>
        <item x="263"/>
        <item x="247"/>
        <item x="1"/>
        <item x="87"/>
        <item x="203"/>
        <item x="262"/>
        <item x="309"/>
        <item x="190"/>
        <item x="215"/>
        <item x="282"/>
        <item x="160"/>
        <item x="113"/>
        <item x="319"/>
        <item x="142"/>
        <item x="178"/>
        <item x="86"/>
        <item x="318"/>
        <item x="290"/>
        <item x="15"/>
        <item x="220"/>
        <item x="128"/>
        <item x="140"/>
        <item x="102"/>
        <item x="124"/>
        <item x="16"/>
        <item x="21"/>
        <item x="153"/>
        <item x="299"/>
        <item x="34"/>
        <item x="159"/>
        <item x="42"/>
        <item x="12"/>
        <item x="48"/>
        <item x="260"/>
        <item x="279"/>
        <item x="25"/>
        <item x="132"/>
        <item x="30"/>
        <item x="281"/>
        <item x="195"/>
        <item x="75"/>
        <item x="167"/>
        <item x="55"/>
        <item x="310"/>
        <item x="312"/>
        <item x="206"/>
        <item x="288"/>
        <item x="60"/>
        <item x="208"/>
        <item x="145"/>
        <item x="121"/>
        <item x="122"/>
        <item x="39"/>
        <item x="268"/>
        <item x="29"/>
        <item x="293"/>
        <item x="2"/>
        <item x="152"/>
        <item x="255"/>
        <item x="8"/>
        <item x="44"/>
        <item x="202"/>
        <item x="199"/>
        <item x="94"/>
        <item x="146"/>
        <item x="147"/>
        <item x="218"/>
        <item x="130"/>
        <item x="63"/>
        <item x="225"/>
        <item x="88"/>
        <item x="93"/>
        <item x="266"/>
        <item x="144"/>
        <item x="244"/>
        <item x="137"/>
        <item x="235"/>
        <item x="18"/>
        <item x="123"/>
        <item x="111"/>
        <item x="141"/>
        <item x="20"/>
        <item x="270"/>
        <item x="304"/>
        <item x="163"/>
        <item x="224"/>
        <item x="289"/>
        <item x="14"/>
        <item x="172"/>
        <item x="46"/>
        <item x="177"/>
        <item x="80"/>
        <item x="126"/>
        <item x="43"/>
        <item x="116"/>
        <item x="183"/>
        <item x="297"/>
        <item t="default"/>
      </items>
    </pivotField>
    <pivotField showAll="0"/>
    <pivotField showAll="0"/>
    <pivotField dataField="1" showAll="0"/>
    <pivotField showAll="0"/>
    <pivotField showAll="0"/>
    <pivotField showAll="0">
      <items count="5">
        <item x="0"/>
        <item h="1" m="1" x="3"/>
        <item h="1" x="1"/>
        <item h="1" x="2"/>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h="1" sd="0" x="0"/>
        <item sd="0" x="1"/>
        <item sd="0" x="2"/>
        <item h="1" sd="0" x="3"/>
        <item h="1" sd="0" x="4"/>
        <item t="default"/>
      </items>
    </pivotField>
  </pivotFields>
  <rowFields count="1">
    <field x="15"/>
  </rowFields>
  <rowItems count="13">
    <i>
      <x v="1"/>
    </i>
    <i>
      <x v="2"/>
    </i>
    <i>
      <x v="3"/>
    </i>
    <i>
      <x v="4"/>
    </i>
    <i>
      <x v="5"/>
    </i>
    <i>
      <x v="6"/>
    </i>
    <i>
      <x v="7"/>
    </i>
    <i>
      <x v="8"/>
    </i>
    <i>
      <x v="9"/>
    </i>
    <i>
      <x v="10"/>
    </i>
    <i>
      <x v="11"/>
    </i>
    <i>
      <x v="12"/>
    </i>
    <i t="grand">
      <x/>
    </i>
  </rowItems>
  <colFields count="1">
    <field x="17"/>
  </colFields>
  <colItems count="3">
    <i>
      <x v="1"/>
    </i>
    <i>
      <x v="2"/>
    </i>
    <i t="grand">
      <x/>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B13971-2486-45FD-9067-F0FD6E3413E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fieldListSortAscending="1">
  <location ref="B28:D32" firstHeaderRow="0" firstDataRow="1" firstDataCol="1"/>
  <pivotFields count="18">
    <pivotField dataField="1" showAll="0"/>
    <pivotField showAll="0"/>
    <pivotField showAll="0"/>
    <pivotField showAll="0"/>
    <pivotField showAll="0"/>
    <pivotField showAll="0">
      <items count="332">
        <item x="5"/>
        <item x="95"/>
        <item x="56"/>
        <item x="241"/>
        <item x="327"/>
        <item x="119"/>
        <item x="198"/>
        <item x="301"/>
        <item x="314"/>
        <item x="31"/>
        <item x="73"/>
        <item x="254"/>
        <item x="117"/>
        <item x="320"/>
        <item x="106"/>
        <item x="101"/>
        <item x="234"/>
        <item x="67"/>
        <item x="127"/>
        <item x="129"/>
        <item x="81"/>
        <item x="9"/>
        <item x="197"/>
        <item x="271"/>
        <item x="180"/>
        <item x="133"/>
        <item x="286"/>
        <item x="45"/>
        <item x="179"/>
        <item x="170"/>
        <item x="169"/>
        <item x="154"/>
        <item x="257"/>
        <item x="278"/>
        <item x="274"/>
        <item x="107"/>
        <item x="57"/>
        <item x="326"/>
        <item x="19"/>
        <item x="96"/>
        <item x="261"/>
        <item x="321"/>
        <item x="275"/>
        <item x="230"/>
        <item x="27"/>
        <item x="207"/>
        <item x="91"/>
        <item x="100"/>
        <item x="251"/>
        <item x="219"/>
        <item x="187"/>
        <item x="77"/>
        <item x="114"/>
        <item x="315"/>
        <item x="78"/>
        <item x="259"/>
        <item x="317"/>
        <item x="182"/>
        <item x="64"/>
        <item x="240"/>
        <item x="82"/>
        <item x="47"/>
        <item x="90"/>
        <item x="0"/>
        <item x="136"/>
        <item x="6"/>
        <item x="175"/>
        <item x="125"/>
        <item x="62"/>
        <item x="292"/>
        <item x="89"/>
        <item x="237"/>
        <item x="22"/>
        <item x="150"/>
        <item x="17"/>
        <item x="250"/>
        <item x="134"/>
        <item x="109"/>
        <item x="258"/>
        <item x="223"/>
        <item x="295"/>
        <item x="277"/>
        <item x="313"/>
        <item x="226"/>
        <item x="324"/>
        <item x="135"/>
        <item x="245"/>
        <item x="194"/>
        <item x="184"/>
        <item x="302"/>
        <item x="238"/>
        <item x="165"/>
        <item x="13"/>
        <item x="61"/>
        <item x="311"/>
        <item x="176"/>
        <item x="285"/>
        <item x="322"/>
        <item x="204"/>
        <item x="252"/>
        <item x="233"/>
        <item x="104"/>
        <item x="139"/>
        <item x="231"/>
        <item x="298"/>
        <item x="209"/>
        <item x="248"/>
        <item x="157"/>
        <item x="280"/>
        <item x="228"/>
        <item x="98"/>
        <item x="188"/>
        <item x="246"/>
        <item x="54"/>
        <item x="115"/>
        <item x="36"/>
        <item x="162"/>
        <item x="323"/>
        <item x="211"/>
        <item x="7"/>
        <item x="166"/>
        <item x="249"/>
        <item x="53"/>
        <item x="65"/>
        <item x="66"/>
        <item x="164"/>
        <item x="3"/>
        <item x="10"/>
        <item x="51"/>
        <item x="308"/>
        <item x="193"/>
        <item x="103"/>
        <item x="229"/>
        <item x="158"/>
        <item x="210"/>
        <item x="24"/>
        <item x="69"/>
        <item x="58"/>
        <item x="276"/>
        <item x="38"/>
        <item x="84"/>
        <item x="76"/>
        <item x="305"/>
        <item x="221"/>
        <item x="181"/>
        <item x="68"/>
        <item x="40"/>
        <item x="4"/>
        <item x="205"/>
        <item x="99"/>
        <item x="168"/>
        <item x="185"/>
        <item x="11"/>
        <item x="112"/>
        <item x="71"/>
        <item x="37"/>
        <item x="85"/>
        <item x="161"/>
        <item x="110"/>
        <item x="120"/>
        <item x="283"/>
        <item x="26"/>
        <item x="269"/>
        <item x="108"/>
        <item x="296"/>
        <item x="265"/>
        <item x="256"/>
        <item x="316"/>
        <item x="307"/>
        <item x="35"/>
        <item x="79"/>
        <item x="200"/>
        <item x="243"/>
        <item x="212"/>
        <item x="74"/>
        <item x="330"/>
        <item x="325"/>
        <item x="50"/>
        <item x="149"/>
        <item x="92"/>
        <item x="284"/>
        <item x="300"/>
        <item x="171"/>
        <item x="72"/>
        <item x="174"/>
        <item x="236"/>
        <item x="148"/>
        <item x="329"/>
        <item x="253"/>
        <item x="138"/>
        <item x="156"/>
        <item x="189"/>
        <item x="105"/>
        <item x="196"/>
        <item x="264"/>
        <item x="222"/>
        <item x="59"/>
        <item x="191"/>
        <item x="32"/>
        <item x="41"/>
        <item x="213"/>
        <item x="273"/>
        <item x="97"/>
        <item x="214"/>
        <item x="239"/>
        <item x="272"/>
        <item x="306"/>
        <item x="227"/>
        <item x="267"/>
        <item x="83"/>
        <item x="186"/>
        <item x="49"/>
        <item x="192"/>
        <item x="217"/>
        <item x="33"/>
        <item x="143"/>
        <item x="287"/>
        <item x="23"/>
        <item x="232"/>
        <item x="303"/>
        <item x="28"/>
        <item x="52"/>
        <item x="70"/>
        <item x="216"/>
        <item x="328"/>
        <item x="155"/>
        <item x="294"/>
        <item x="201"/>
        <item x="173"/>
        <item x="291"/>
        <item x="118"/>
        <item x="151"/>
        <item x="242"/>
        <item x="131"/>
        <item x="263"/>
        <item x="247"/>
        <item x="1"/>
        <item x="87"/>
        <item x="203"/>
        <item x="262"/>
        <item x="309"/>
        <item x="190"/>
        <item x="215"/>
        <item x="282"/>
        <item x="160"/>
        <item x="113"/>
        <item x="319"/>
        <item x="142"/>
        <item x="178"/>
        <item x="86"/>
        <item x="318"/>
        <item x="290"/>
        <item x="15"/>
        <item x="220"/>
        <item x="128"/>
        <item x="140"/>
        <item x="102"/>
        <item x="124"/>
        <item x="16"/>
        <item x="21"/>
        <item x="153"/>
        <item x="299"/>
        <item x="34"/>
        <item x="159"/>
        <item x="42"/>
        <item x="12"/>
        <item x="48"/>
        <item x="260"/>
        <item x="279"/>
        <item x="25"/>
        <item x="132"/>
        <item x="30"/>
        <item x="281"/>
        <item x="195"/>
        <item x="75"/>
        <item x="167"/>
        <item x="55"/>
        <item x="310"/>
        <item x="312"/>
        <item x="206"/>
        <item x="288"/>
        <item x="60"/>
        <item x="208"/>
        <item x="145"/>
        <item x="121"/>
        <item x="122"/>
        <item x="39"/>
        <item x="268"/>
        <item x="29"/>
        <item x="293"/>
        <item x="2"/>
        <item x="152"/>
        <item x="255"/>
        <item x="8"/>
        <item x="44"/>
        <item x="202"/>
        <item x="199"/>
        <item x="94"/>
        <item x="146"/>
        <item x="147"/>
        <item x="218"/>
        <item x="130"/>
        <item x="63"/>
        <item x="225"/>
        <item x="88"/>
        <item x="93"/>
        <item x="266"/>
        <item x="144"/>
        <item x="244"/>
        <item x="137"/>
        <item x="235"/>
        <item x="18"/>
        <item x="123"/>
        <item x="111"/>
        <item x="141"/>
        <item x="20"/>
        <item x="270"/>
        <item x="304"/>
        <item x="163"/>
        <item x="224"/>
        <item x="289"/>
        <item x="14"/>
        <item x="172"/>
        <item x="46"/>
        <item x="177"/>
        <item x="80"/>
        <item x="126"/>
        <item x="43"/>
        <item x="116"/>
        <item x="183"/>
        <item x="297"/>
        <item t="default"/>
      </items>
    </pivotField>
    <pivotField showAll="0"/>
    <pivotField showAll="0"/>
    <pivotField dataField="1" showAll="0"/>
    <pivotField showAll="0"/>
    <pivotField showAll="0"/>
    <pivotField showAll="0">
      <items count="5">
        <item x="0"/>
        <item h="1" m="1" x="3"/>
        <item h="1" x="1"/>
        <item h="1" x="2"/>
        <item t="default"/>
      </items>
    </pivotField>
    <pivotField showAll="0"/>
    <pivotField axis="axisRow" showAll="0" sortType="descending">
      <items count="5">
        <item x="1"/>
        <item m="1" x="3"/>
        <item x="0"/>
        <item x="2"/>
        <item t="default"/>
      </items>
    </pivotField>
    <pivotField showAll="0"/>
    <pivotField showAll="0">
      <items count="15">
        <item h="1" sd="0" x="0"/>
        <item h="1" sd="0" x="1"/>
        <item h="1" sd="0" x="2"/>
        <item sd="0" x="3"/>
        <item sd="0" x="4"/>
        <item sd="0" x="5"/>
        <item sd="0" x="6"/>
        <item sd="0" x="7"/>
        <item sd="0" x="8"/>
        <item sd="0" x="9"/>
        <item sd="0" x="10"/>
        <item sd="0" x="11"/>
        <item h="1" sd="0" x="12"/>
        <item h="1"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Fields count="1">
    <field x="13"/>
  </rowFields>
  <rowItems count="4">
    <i>
      <x/>
    </i>
    <i>
      <x v="2"/>
    </i>
    <i>
      <x v="3"/>
    </i>
    <i t="grand">
      <x/>
    </i>
  </rowItems>
  <colFields count="1">
    <field x="-2"/>
  </colFields>
  <colItems count="2">
    <i>
      <x/>
    </i>
    <i i="1">
      <x v="1"/>
    </i>
  </colItems>
  <dataFields count="2">
    <dataField name="Count of Order_ID" fld="0" subtotal="count" baseField="0" baseItem="0"/>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E39E4F-08A8-4BD8-BA7D-932A16C8E6A6}"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fieldListSortAscending="1">
  <location ref="B56:C61" firstHeaderRow="1" firstDataRow="1" firstDataCol="1"/>
  <pivotFields count="18">
    <pivotField showAll="0"/>
    <pivotField showAll="0"/>
    <pivotField showAll="0"/>
    <pivotField showAll="0"/>
    <pivotField axis="axisRow" showAll="0">
      <items count="5">
        <item x="0"/>
        <item x="1"/>
        <item x="3"/>
        <item x="2"/>
        <item t="default"/>
      </items>
    </pivotField>
    <pivotField showAll="0">
      <items count="332">
        <item x="5"/>
        <item x="95"/>
        <item x="56"/>
        <item x="241"/>
        <item x="327"/>
        <item x="119"/>
        <item x="198"/>
        <item x="301"/>
        <item x="314"/>
        <item x="31"/>
        <item x="73"/>
        <item x="254"/>
        <item x="117"/>
        <item x="320"/>
        <item x="106"/>
        <item x="101"/>
        <item x="234"/>
        <item x="67"/>
        <item x="127"/>
        <item x="129"/>
        <item x="81"/>
        <item x="9"/>
        <item x="197"/>
        <item x="271"/>
        <item x="180"/>
        <item x="133"/>
        <item x="286"/>
        <item x="45"/>
        <item x="179"/>
        <item x="170"/>
        <item x="169"/>
        <item x="154"/>
        <item x="257"/>
        <item x="278"/>
        <item x="274"/>
        <item x="107"/>
        <item x="57"/>
        <item x="326"/>
        <item x="19"/>
        <item x="96"/>
        <item x="261"/>
        <item x="321"/>
        <item x="275"/>
        <item x="230"/>
        <item x="27"/>
        <item x="207"/>
        <item x="91"/>
        <item x="100"/>
        <item x="251"/>
        <item x="219"/>
        <item x="187"/>
        <item x="77"/>
        <item x="114"/>
        <item x="315"/>
        <item x="78"/>
        <item x="259"/>
        <item x="317"/>
        <item x="182"/>
        <item x="64"/>
        <item x="240"/>
        <item x="82"/>
        <item x="47"/>
        <item x="90"/>
        <item x="0"/>
        <item x="136"/>
        <item x="6"/>
        <item x="175"/>
        <item x="125"/>
        <item x="62"/>
        <item x="292"/>
        <item x="89"/>
        <item x="237"/>
        <item x="22"/>
        <item x="150"/>
        <item x="17"/>
        <item x="250"/>
        <item x="134"/>
        <item x="109"/>
        <item x="258"/>
        <item x="223"/>
        <item x="295"/>
        <item x="277"/>
        <item x="313"/>
        <item x="226"/>
        <item x="324"/>
        <item x="135"/>
        <item x="245"/>
        <item x="194"/>
        <item x="184"/>
        <item x="302"/>
        <item x="238"/>
        <item x="165"/>
        <item x="13"/>
        <item x="61"/>
        <item x="311"/>
        <item x="176"/>
        <item x="285"/>
        <item x="322"/>
        <item x="204"/>
        <item x="252"/>
        <item x="233"/>
        <item x="104"/>
        <item x="139"/>
        <item x="231"/>
        <item x="298"/>
        <item x="209"/>
        <item x="248"/>
        <item x="157"/>
        <item x="280"/>
        <item x="228"/>
        <item x="98"/>
        <item x="188"/>
        <item x="246"/>
        <item x="54"/>
        <item x="115"/>
        <item x="36"/>
        <item x="162"/>
        <item x="323"/>
        <item x="211"/>
        <item x="7"/>
        <item x="166"/>
        <item x="249"/>
        <item x="53"/>
        <item x="65"/>
        <item x="66"/>
        <item x="164"/>
        <item x="3"/>
        <item x="10"/>
        <item x="51"/>
        <item x="308"/>
        <item x="193"/>
        <item x="103"/>
        <item x="229"/>
        <item x="158"/>
        <item x="210"/>
        <item x="24"/>
        <item x="69"/>
        <item x="58"/>
        <item x="276"/>
        <item x="38"/>
        <item x="84"/>
        <item x="76"/>
        <item x="305"/>
        <item x="221"/>
        <item x="181"/>
        <item x="68"/>
        <item x="40"/>
        <item x="4"/>
        <item x="205"/>
        <item x="99"/>
        <item x="168"/>
        <item x="185"/>
        <item x="11"/>
        <item x="112"/>
        <item x="71"/>
        <item x="37"/>
        <item x="85"/>
        <item x="161"/>
        <item x="110"/>
        <item x="120"/>
        <item x="283"/>
        <item x="26"/>
        <item x="269"/>
        <item x="108"/>
        <item x="296"/>
        <item x="265"/>
        <item x="256"/>
        <item x="316"/>
        <item x="307"/>
        <item x="35"/>
        <item x="79"/>
        <item x="200"/>
        <item x="243"/>
        <item x="212"/>
        <item x="74"/>
        <item x="330"/>
        <item x="325"/>
        <item x="50"/>
        <item x="149"/>
        <item x="92"/>
        <item x="284"/>
        <item x="300"/>
        <item x="171"/>
        <item x="72"/>
        <item x="174"/>
        <item x="236"/>
        <item x="148"/>
        <item x="329"/>
        <item x="253"/>
        <item x="138"/>
        <item x="156"/>
        <item x="189"/>
        <item x="105"/>
        <item x="196"/>
        <item x="264"/>
        <item x="222"/>
        <item x="59"/>
        <item x="191"/>
        <item x="32"/>
        <item x="41"/>
        <item x="213"/>
        <item x="273"/>
        <item x="97"/>
        <item x="214"/>
        <item x="239"/>
        <item x="272"/>
        <item x="306"/>
        <item x="227"/>
        <item x="267"/>
        <item x="83"/>
        <item x="186"/>
        <item x="49"/>
        <item x="192"/>
        <item x="217"/>
        <item x="33"/>
        <item x="143"/>
        <item x="287"/>
        <item x="23"/>
        <item x="232"/>
        <item x="303"/>
        <item x="28"/>
        <item x="52"/>
        <item x="70"/>
        <item x="216"/>
        <item x="328"/>
        <item x="155"/>
        <item x="294"/>
        <item x="201"/>
        <item x="173"/>
        <item x="291"/>
        <item x="118"/>
        <item x="151"/>
        <item x="242"/>
        <item x="131"/>
        <item x="263"/>
        <item x="247"/>
        <item x="1"/>
        <item x="87"/>
        <item x="203"/>
        <item x="262"/>
        <item x="309"/>
        <item x="190"/>
        <item x="215"/>
        <item x="282"/>
        <item x="160"/>
        <item x="113"/>
        <item x="319"/>
        <item x="142"/>
        <item x="178"/>
        <item x="86"/>
        <item x="318"/>
        <item x="290"/>
        <item x="15"/>
        <item x="220"/>
        <item x="128"/>
        <item x="140"/>
        <item x="102"/>
        <item x="124"/>
        <item x="16"/>
        <item x="21"/>
        <item x="153"/>
        <item x="299"/>
        <item x="34"/>
        <item x="159"/>
        <item x="42"/>
        <item x="12"/>
        <item x="48"/>
        <item x="260"/>
        <item x="279"/>
        <item x="25"/>
        <item x="132"/>
        <item x="30"/>
        <item x="281"/>
        <item x="195"/>
        <item x="75"/>
        <item x="167"/>
        <item x="55"/>
        <item x="310"/>
        <item x="312"/>
        <item x="206"/>
        <item x="288"/>
        <item x="60"/>
        <item x="208"/>
        <item x="145"/>
        <item x="121"/>
        <item x="122"/>
        <item x="39"/>
        <item x="268"/>
        <item x="29"/>
        <item x="293"/>
        <item x="2"/>
        <item x="152"/>
        <item x="255"/>
        <item x="8"/>
        <item x="44"/>
        <item x="202"/>
        <item x="199"/>
        <item x="94"/>
        <item x="146"/>
        <item x="147"/>
        <item x="218"/>
        <item x="130"/>
        <item x="63"/>
        <item x="225"/>
        <item x="88"/>
        <item x="93"/>
        <item x="266"/>
        <item x="144"/>
        <item x="244"/>
        <item x="137"/>
        <item x="235"/>
        <item x="18"/>
        <item x="123"/>
        <item x="111"/>
        <item x="141"/>
        <item x="20"/>
        <item x="270"/>
        <item x="304"/>
        <item x="163"/>
        <item x="224"/>
        <item x="289"/>
        <item x="14"/>
        <item x="172"/>
        <item x="46"/>
        <item x="177"/>
        <item x="80"/>
        <item x="126"/>
        <item x="43"/>
        <item x="116"/>
        <item x="183"/>
        <item x="297"/>
        <item t="default"/>
      </items>
    </pivotField>
    <pivotField showAll="0"/>
    <pivotField showAll="0"/>
    <pivotField showAll="0"/>
    <pivotField showAll="0"/>
    <pivotField dataField="1" showAll="0"/>
    <pivotField showAll="0">
      <items count="5">
        <item x="0"/>
        <item h="1" m="1" x="3"/>
        <item h="1" x="1"/>
        <item h="1" x="2"/>
        <item t="default"/>
      </items>
    </pivotField>
    <pivotField showAll="0"/>
    <pivotField showAll="0"/>
    <pivotField showAll="0"/>
    <pivotField showAll="0">
      <items count="15">
        <item h="1" sd="0" x="0"/>
        <item h="1" sd="0" x="1"/>
        <item h="1" sd="0" x="2"/>
        <item sd="0" x="3"/>
        <item sd="0" x="4"/>
        <item sd="0" x="5"/>
        <item sd="0" x="6"/>
        <item sd="0" x="7"/>
        <item sd="0" x="8"/>
        <item sd="0" x="9"/>
        <item sd="0" x="10"/>
        <item sd="0" x="11"/>
        <item h="1" sd="0" x="12"/>
        <item h="1"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Fields count="1">
    <field x="4"/>
  </rowFields>
  <rowItems count="5">
    <i>
      <x/>
    </i>
    <i>
      <x v="1"/>
    </i>
    <i>
      <x v="2"/>
    </i>
    <i>
      <x v="3"/>
    </i>
    <i t="grand">
      <x/>
    </i>
  </rowItems>
  <colItems count="1">
    <i/>
  </colItems>
  <dataFields count="1">
    <dataField name="Sum of Total_Cos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5E5F8D-B746-4E21-A76B-0B8E91C31DDA}"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fieldListSortAscending="1">
  <location ref="B70:E81" firstHeaderRow="1" firstDataRow="2" firstDataCol="1"/>
  <pivotFields count="18">
    <pivotField showAll="0"/>
    <pivotField showAll="0"/>
    <pivotField showAll="0"/>
    <pivotField showAll="0"/>
    <pivotField showAll="0"/>
    <pivotField showAll="0">
      <items count="332">
        <item x="5"/>
        <item x="95"/>
        <item x="56"/>
        <item x="241"/>
        <item x="327"/>
        <item x="119"/>
        <item x="198"/>
        <item x="301"/>
        <item x="314"/>
        <item x="31"/>
        <item x="73"/>
        <item x="254"/>
        <item x="117"/>
        <item x="320"/>
        <item x="106"/>
        <item x="101"/>
        <item x="234"/>
        <item x="67"/>
        <item x="127"/>
        <item x="129"/>
        <item x="81"/>
        <item x="9"/>
        <item x="197"/>
        <item x="271"/>
        <item x="180"/>
        <item x="133"/>
        <item x="286"/>
        <item x="45"/>
        <item x="179"/>
        <item x="170"/>
        <item x="169"/>
        <item x="154"/>
        <item x="257"/>
        <item x="278"/>
        <item x="274"/>
        <item x="107"/>
        <item x="57"/>
        <item x="326"/>
        <item x="19"/>
        <item x="96"/>
        <item x="261"/>
        <item x="321"/>
        <item x="275"/>
        <item x="230"/>
        <item x="27"/>
        <item x="207"/>
        <item x="91"/>
        <item x="100"/>
        <item x="251"/>
        <item x="219"/>
        <item x="187"/>
        <item x="77"/>
        <item x="114"/>
        <item x="315"/>
        <item x="78"/>
        <item x="259"/>
        <item x="317"/>
        <item x="182"/>
        <item x="64"/>
        <item x="240"/>
        <item x="82"/>
        <item x="47"/>
        <item x="90"/>
        <item x="0"/>
        <item x="136"/>
        <item x="6"/>
        <item x="175"/>
        <item x="125"/>
        <item x="62"/>
        <item x="292"/>
        <item x="89"/>
        <item x="237"/>
        <item x="22"/>
        <item x="150"/>
        <item x="17"/>
        <item x="250"/>
        <item x="134"/>
        <item x="109"/>
        <item x="258"/>
        <item x="223"/>
        <item x="295"/>
        <item x="277"/>
        <item x="313"/>
        <item x="226"/>
        <item x="324"/>
        <item x="135"/>
        <item x="245"/>
        <item x="194"/>
        <item x="184"/>
        <item x="302"/>
        <item x="238"/>
        <item x="165"/>
        <item x="13"/>
        <item x="61"/>
        <item x="311"/>
        <item x="176"/>
        <item x="285"/>
        <item x="322"/>
        <item x="204"/>
        <item x="252"/>
        <item x="233"/>
        <item x="104"/>
        <item x="139"/>
        <item x="231"/>
        <item x="298"/>
        <item x="209"/>
        <item x="248"/>
        <item x="157"/>
        <item x="280"/>
        <item x="228"/>
        <item x="98"/>
        <item x="188"/>
        <item x="246"/>
        <item x="54"/>
        <item x="115"/>
        <item x="36"/>
        <item x="162"/>
        <item x="323"/>
        <item x="211"/>
        <item x="7"/>
        <item x="166"/>
        <item x="249"/>
        <item x="53"/>
        <item x="65"/>
        <item x="66"/>
        <item x="164"/>
        <item x="3"/>
        <item x="10"/>
        <item x="51"/>
        <item x="308"/>
        <item x="193"/>
        <item x="103"/>
        <item x="229"/>
        <item x="158"/>
        <item x="210"/>
        <item x="24"/>
        <item x="69"/>
        <item x="58"/>
        <item x="276"/>
        <item x="38"/>
        <item x="84"/>
        <item x="76"/>
        <item x="305"/>
        <item x="221"/>
        <item x="181"/>
        <item x="68"/>
        <item x="40"/>
        <item x="4"/>
        <item x="205"/>
        <item x="99"/>
        <item x="168"/>
        <item x="185"/>
        <item x="11"/>
        <item x="112"/>
        <item x="71"/>
        <item x="37"/>
        <item x="85"/>
        <item x="161"/>
        <item x="110"/>
        <item x="120"/>
        <item x="283"/>
        <item x="26"/>
        <item x="269"/>
        <item x="108"/>
        <item x="296"/>
        <item x="265"/>
        <item x="256"/>
        <item x="316"/>
        <item x="307"/>
        <item x="35"/>
        <item x="79"/>
        <item x="200"/>
        <item x="243"/>
        <item x="212"/>
        <item x="74"/>
        <item x="330"/>
        <item x="325"/>
        <item x="50"/>
        <item x="149"/>
        <item x="92"/>
        <item x="284"/>
        <item x="300"/>
        <item x="171"/>
        <item x="72"/>
        <item x="174"/>
        <item x="236"/>
        <item x="148"/>
        <item x="329"/>
        <item x="253"/>
        <item x="138"/>
        <item x="156"/>
        <item x="189"/>
        <item x="105"/>
        <item x="196"/>
        <item x="264"/>
        <item x="222"/>
        <item x="59"/>
        <item x="191"/>
        <item x="32"/>
        <item x="41"/>
        <item x="213"/>
        <item x="273"/>
        <item x="97"/>
        <item x="214"/>
        <item x="239"/>
        <item x="272"/>
        <item x="306"/>
        <item x="227"/>
        <item x="267"/>
        <item x="83"/>
        <item x="186"/>
        <item x="49"/>
        <item x="192"/>
        <item x="217"/>
        <item x="33"/>
        <item x="143"/>
        <item x="287"/>
        <item x="23"/>
        <item x="232"/>
        <item x="303"/>
        <item x="28"/>
        <item x="52"/>
        <item x="70"/>
        <item x="216"/>
        <item x="328"/>
        <item x="155"/>
        <item x="294"/>
        <item x="201"/>
        <item x="173"/>
        <item x="291"/>
        <item x="118"/>
        <item x="151"/>
        <item x="242"/>
        <item x="131"/>
        <item x="263"/>
        <item x="247"/>
        <item x="1"/>
        <item x="87"/>
        <item x="203"/>
        <item x="262"/>
        <item x="309"/>
        <item x="190"/>
        <item x="215"/>
        <item x="282"/>
        <item x="160"/>
        <item x="113"/>
        <item x="319"/>
        <item x="142"/>
        <item x="178"/>
        <item x="86"/>
        <item x="318"/>
        <item x="290"/>
        <item x="15"/>
        <item x="220"/>
        <item x="128"/>
        <item x="140"/>
        <item x="102"/>
        <item x="124"/>
        <item x="16"/>
        <item x="21"/>
        <item x="153"/>
        <item x="299"/>
        <item x="34"/>
        <item x="159"/>
        <item x="42"/>
        <item x="12"/>
        <item x="48"/>
        <item x="260"/>
        <item x="279"/>
        <item x="25"/>
        <item x="132"/>
        <item x="30"/>
        <item x="281"/>
        <item x="195"/>
        <item x="75"/>
        <item x="167"/>
        <item x="55"/>
        <item x="310"/>
        <item x="312"/>
        <item x="206"/>
        <item x="288"/>
        <item x="60"/>
        <item x="208"/>
        <item x="145"/>
        <item x="121"/>
        <item x="122"/>
        <item x="39"/>
        <item x="268"/>
        <item x="29"/>
        <item x="293"/>
        <item x="2"/>
        <item x="152"/>
        <item x="255"/>
        <item x="8"/>
        <item x="44"/>
        <item x="202"/>
        <item x="199"/>
        <item x="94"/>
        <item x="146"/>
        <item x="147"/>
        <item x="218"/>
        <item x="130"/>
        <item x="63"/>
        <item x="225"/>
        <item x="88"/>
        <item x="93"/>
        <item x="266"/>
        <item x="144"/>
        <item x="244"/>
        <item x="137"/>
        <item x="235"/>
        <item x="18"/>
        <item x="123"/>
        <item x="111"/>
        <item x="141"/>
        <item x="20"/>
        <item x="270"/>
        <item x="304"/>
        <item x="163"/>
        <item x="224"/>
        <item x="289"/>
        <item x="14"/>
        <item x="172"/>
        <item x="46"/>
        <item x="177"/>
        <item x="80"/>
        <item x="126"/>
        <item x="43"/>
        <item x="116"/>
        <item x="183"/>
        <item x="297"/>
        <item t="default"/>
      </items>
    </pivotField>
    <pivotField showAll="0"/>
    <pivotField showAll="0"/>
    <pivotField dataField="1" showAll="0"/>
    <pivotField showAll="0"/>
    <pivotField showAll="0"/>
    <pivotField showAll="0">
      <items count="5">
        <item x="0"/>
        <item h="1" m="1" x="3"/>
        <item h="1" x="1"/>
        <item h="1" x="2"/>
        <item t="default"/>
      </items>
    </pivotField>
    <pivotField showAll="0"/>
    <pivotField showAll="0"/>
    <pivotField showAll="0"/>
    <pivotField axis="axisRow" showAll="0">
      <items count="15">
        <item h="1" sd="0" x="0"/>
        <item h="1" sd="0" x="1"/>
        <item h="1" sd="0" x="2"/>
        <item sd="0" x="3"/>
        <item sd="0" x="4"/>
        <item sd="0" x="5"/>
        <item sd="0" x="6"/>
        <item sd="0" x="7"/>
        <item sd="0" x="8"/>
        <item sd="0" x="9"/>
        <item sd="0" x="10"/>
        <item sd="0" x="11"/>
        <item h="1" sd="0" x="12"/>
        <item h="1" sd="0" x="13"/>
        <item t="default"/>
      </items>
    </pivotField>
    <pivotField showAll="0">
      <items count="7">
        <item sd="0" x="0"/>
        <item sd="0" x="1"/>
        <item sd="0" x="2"/>
        <item sd="0" x="3"/>
        <item sd="0" x="4"/>
        <item sd="0" x="5"/>
        <item t="default"/>
      </items>
    </pivotField>
    <pivotField axis="axisCol" showAll="0">
      <items count="6">
        <item h="1" sd="0" x="0"/>
        <item sd="0" x="1"/>
        <item sd="0" x="2"/>
        <item h="1" sd="0" x="3"/>
        <item h="1" sd="0" x="4"/>
        <item t="default"/>
      </items>
    </pivotField>
  </pivotFields>
  <rowFields count="1">
    <field x="15"/>
  </rowFields>
  <rowItems count="10">
    <i>
      <x v="3"/>
    </i>
    <i>
      <x v="4"/>
    </i>
    <i>
      <x v="5"/>
    </i>
    <i>
      <x v="6"/>
    </i>
    <i>
      <x v="7"/>
    </i>
    <i>
      <x v="8"/>
    </i>
    <i>
      <x v="9"/>
    </i>
    <i>
      <x v="10"/>
    </i>
    <i>
      <x v="11"/>
    </i>
    <i t="grand">
      <x/>
    </i>
  </rowItems>
  <colFields count="1">
    <field x="17"/>
  </colFields>
  <colItems count="3">
    <i>
      <x v="1"/>
    </i>
    <i>
      <x v="2"/>
    </i>
    <i t="grand">
      <x/>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198D65-CF2F-42EC-8826-B8F9FFEBF88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fieldListSortAscending="1">
  <location ref="G11:I25" firstHeaderRow="1" firstDataRow="2" firstDataCol="1"/>
  <pivotFields count="18">
    <pivotField dataField="1" showAll="0"/>
    <pivotField showAll="0"/>
    <pivotField showAll="0"/>
    <pivotField showAll="0"/>
    <pivotField showAll="0"/>
    <pivotField showAll="0">
      <items count="332">
        <item x="5"/>
        <item x="95"/>
        <item x="56"/>
        <item x="241"/>
        <item x="327"/>
        <item x="119"/>
        <item x="198"/>
        <item x="301"/>
        <item x="314"/>
        <item x="31"/>
        <item x="73"/>
        <item x="254"/>
        <item x="117"/>
        <item x="320"/>
        <item x="106"/>
        <item x="101"/>
        <item x="234"/>
        <item x="67"/>
        <item x="127"/>
        <item x="129"/>
        <item x="81"/>
        <item x="9"/>
        <item x="197"/>
        <item x="271"/>
        <item x="180"/>
        <item x="133"/>
        <item x="286"/>
        <item x="45"/>
        <item x="179"/>
        <item x="170"/>
        <item x="169"/>
        <item x="154"/>
        <item x="257"/>
        <item x="278"/>
        <item x="274"/>
        <item x="107"/>
        <item x="57"/>
        <item x="326"/>
        <item x="19"/>
        <item x="96"/>
        <item x="261"/>
        <item x="321"/>
        <item x="275"/>
        <item x="230"/>
        <item x="27"/>
        <item x="207"/>
        <item x="91"/>
        <item x="100"/>
        <item x="251"/>
        <item x="219"/>
        <item x="187"/>
        <item x="77"/>
        <item x="114"/>
        <item x="315"/>
        <item x="78"/>
        <item x="259"/>
        <item x="317"/>
        <item x="182"/>
        <item x="64"/>
        <item x="240"/>
        <item x="82"/>
        <item x="47"/>
        <item x="90"/>
        <item x="0"/>
        <item x="136"/>
        <item x="6"/>
        <item x="175"/>
        <item x="125"/>
        <item x="62"/>
        <item x="292"/>
        <item x="89"/>
        <item x="237"/>
        <item x="22"/>
        <item x="150"/>
        <item x="17"/>
        <item x="250"/>
        <item x="134"/>
        <item x="109"/>
        <item x="258"/>
        <item x="223"/>
        <item x="295"/>
        <item x="277"/>
        <item x="313"/>
        <item x="226"/>
        <item x="324"/>
        <item x="135"/>
        <item x="245"/>
        <item x="194"/>
        <item x="184"/>
        <item x="302"/>
        <item x="238"/>
        <item x="165"/>
        <item x="13"/>
        <item x="61"/>
        <item x="311"/>
        <item x="176"/>
        <item x="285"/>
        <item x="322"/>
        <item x="204"/>
        <item x="252"/>
        <item x="233"/>
        <item x="104"/>
        <item x="139"/>
        <item x="231"/>
        <item x="298"/>
        <item x="209"/>
        <item x="248"/>
        <item x="157"/>
        <item x="280"/>
        <item x="228"/>
        <item x="98"/>
        <item x="188"/>
        <item x="246"/>
        <item x="54"/>
        <item x="115"/>
        <item x="36"/>
        <item x="162"/>
        <item x="323"/>
        <item x="211"/>
        <item x="7"/>
        <item x="166"/>
        <item x="249"/>
        <item x="53"/>
        <item x="65"/>
        <item x="66"/>
        <item x="164"/>
        <item x="3"/>
        <item x="10"/>
        <item x="51"/>
        <item x="308"/>
        <item x="193"/>
        <item x="103"/>
        <item x="229"/>
        <item x="158"/>
        <item x="210"/>
        <item x="24"/>
        <item x="69"/>
        <item x="58"/>
        <item x="276"/>
        <item x="38"/>
        <item x="84"/>
        <item x="76"/>
        <item x="305"/>
        <item x="221"/>
        <item x="181"/>
        <item x="68"/>
        <item x="40"/>
        <item x="4"/>
        <item x="205"/>
        <item x="99"/>
        <item x="168"/>
        <item x="185"/>
        <item x="11"/>
        <item x="112"/>
        <item x="71"/>
        <item x="37"/>
        <item x="85"/>
        <item x="161"/>
        <item x="110"/>
        <item x="120"/>
        <item x="283"/>
        <item x="26"/>
        <item x="269"/>
        <item x="108"/>
        <item x="296"/>
        <item x="265"/>
        <item x="256"/>
        <item x="316"/>
        <item x="307"/>
        <item x="35"/>
        <item x="79"/>
        <item x="200"/>
        <item x="243"/>
        <item x="212"/>
        <item x="74"/>
        <item x="330"/>
        <item x="325"/>
        <item x="50"/>
        <item x="149"/>
        <item x="92"/>
        <item x="284"/>
        <item x="300"/>
        <item x="171"/>
        <item x="72"/>
        <item x="174"/>
        <item x="236"/>
        <item x="148"/>
        <item x="329"/>
        <item x="253"/>
        <item x="138"/>
        <item x="156"/>
        <item x="189"/>
        <item x="105"/>
        <item x="196"/>
        <item x="264"/>
        <item x="222"/>
        <item x="59"/>
        <item x="191"/>
        <item x="32"/>
        <item x="41"/>
        <item x="213"/>
        <item x="273"/>
        <item x="97"/>
        <item x="214"/>
        <item x="239"/>
        <item x="272"/>
        <item x="306"/>
        <item x="227"/>
        <item x="267"/>
        <item x="83"/>
        <item x="186"/>
        <item x="49"/>
        <item x="192"/>
        <item x="217"/>
        <item x="33"/>
        <item x="143"/>
        <item x="287"/>
        <item x="23"/>
        <item x="232"/>
        <item x="303"/>
        <item x="28"/>
        <item x="52"/>
        <item x="70"/>
        <item x="216"/>
        <item x="328"/>
        <item x="155"/>
        <item x="294"/>
        <item x="201"/>
        <item x="173"/>
        <item x="291"/>
        <item x="118"/>
        <item x="151"/>
        <item x="242"/>
        <item x="131"/>
        <item x="263"/>
        <item x="247"/>
        <item x="1"/>
        <item x="87"/>
        <item x="203"/>
        <item x="262"/>
        <item x="309"/>
        <item x="190"/>
        <item x="215"/>
        <item x="282"/>
        <item x="160"/>
        <item x="113"/>
        <item x="319"/>
        <item x="142"/>
        <item x="178"/>
        <item x="86"/>
        <item x="318"/>
        <item x="290"/>
        <item x="15"/>
        <item x="220"/>
        <item x="128"/>
        <item x="140"/>
        <item x="102"/>
        <item x="124"/>
        <item x="16"/>
        <item x="21"/>
        <item x="153"/>
        <item x="299"/>
        <item x="34"/>
        <item x="159"/>
        <item x="42"/>
        <item x="12"/>
        <item x="48"/>
        <item x="260"/>
        <item x="279"/>
        <item x="25"/>
        <item x="132"/>
        <item x="30"/>
        <item x="281"/>
        <item x="195"/>
        <item x="75"/>
        <item x="167"/>
        <item x="55"/>
        <item x="310"/>
        <item x="312"/>
        <item x="206"/>
        <item x="288"/>
        <item x="60"/>
        <item x="208"/>
        <item x="145"/>
        <item x="121"/>
        <item x="122"/>
        <item x="39"/>
        <item x="268"/>
        <item x="29"/>
        <item x="293"/>
        <item x="2"/>
        <item x="152"/>
        <item x="255"/>
        <item x="8"/>
        <item x="44"/>
        <item x="202"/>
        <item x="199"/>
        <item x="94"/>
        <item x="146"/>
        <item x="147"/>
        <item x="218"/>
        <item x="130"/>
        <item x="63"/>
        <item x="225"/>
        <item x="88"/>
        <item x="93"/>
        <item x="266"/>
        <item x="144"/>
        <item x="244"/>
        <item x="137"/>
        <item x="235"/>
        <item x="18"/>
        <item x="123"/>
        <item x="111"/>
        <item x="141"/>
        <item x="20"/>
        <item x="270"/>
        <item x="304"/>
        <item x="163"/>
        <item x="224"/>
        <item x="289"/>
        <item x="14"/>
        <item x="172"/>
        <item x="46"/>
        <item x="177"/>
        <item x="80"/>
        <item x="126"/>
        <item x="43"/>
        <item x="116"/>
        <item x="183"/>
        <item x="297"/>
        <item t="default"/>
      </items>
    </pivotField>
    <pivotField showAll="0"/>
    <pivotField showAll="0"/>
    <pivotField showAll="0"/>
    <pivotField showAll="0"/>
    <pivotField showAll="0"/>
    <pivotField showAll="0">
      <items count="5">
        <item x="0"/>
        <item h="1" m="1" x="3"/>
        <item h="1" x="1"/>
        <item h="1" x="2"/>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h="1" sd="0" x="0"/>
        <item h="1" sd="0" x="1"/>
        <item sd="0" x="2"/>
        <item h="1" sd="0" x="3"/>
        <item h="1" sd="0" x="4"/>
        <item t="default"/>
      </items>
    </pivotField>
  </pivotFields>
  <rowFields count="1">
    <field x="15"/>
  </rowFields>
  <rowItems count="13">
    <i>
      <x v="1"/>
    </i>
    <i>
      <x v="2"/>
    </i>
    <i>
      <x v="3"/>
    </i>
    <i>
      <x v="4"/>
    </i>
    <i>
      <x v="5"/>
    </i>
    <i>
      <x v="6"/>
    </i>
    <i>
      <x v="7"/>
    </i>
    <i>
      <x v="8"/>
    </i>
    <i>
      <x v="9"/>
    </i>
    <i>
      <x v="10"/>
    </i>
    <i>
      <x v="11"/>
    </i>
    <i>
      <x v="12"/>
    </i>
    <i t="grand">
      <x/>
    </i>
  </rowItems>
  <colFields count="1">
    <field x="17"/>
  </colFields>
  <colItems count="2">
    <i>
      <x v="2"/>
    </i>
    <i t="grand">
      <x/>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030C09-D59A-4C0B-8ECB-6FF6D7D1EDC5}"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fieldListSortAscending="1">
  <location ref="F47:G51" firstHeaderRow="1" firstDataRow="1" firstDataCol="1"/>
  <pivotFields count="18">
    <pivotField dataField="1" showAll="0"/>
    <pivotField showAll="0"/>
    <pivotField showAll="0"/>
    <pivotField showAll="0"/>
    <pivotField showAll="0"/>
    <pivotField showAll="0">
      <items count="332">
        <item x="5"/>
        <item x="95"/>
        <item x="56"/>
        <item x="241"/>
        <item x="327"/>
        <item x="119"/>
        <item x="198"/>
        <item x="301"/>
        <item x="314"/>
        <item x="31"/>
        <item x="73"/>
        <item x="254"/>
        <item x="117"/>
        <item x="320"/>
        <item x="106"/>
        <item x="101"/>
        <item x="234"/>
        <item x="67"/>
        <item x="127"/>
        <item x="129"/>
        <item x="81"/>
        <item x="9"/>
        <item x="197"/>
        <item x="271"/>
        <item x="180"/>
        <item x="133"/>
        <item x="286"/>
        <item x="45"/>
        <item x="179"/>
        <item x="170"/>
        <item x="169"/>
        <item x="154"/>
        <item x="257"/>
        <item x="278"/>
        <item x="274"/>
        <item x="107"/>
        <item x="57"/>
        <item x="326"/>
        <item x="19"/>
        <item x="96"/>
        <item x="261"/>
        <item x="321"/>
        <item x="275"/>
        <item x="230"/>
        <item x="27"/>
        <item x="207"/>
        <item x="91"/>
        <item x="100"/>
        <item x="251"/>
        <item x="219"/>
        <item x="187"/>
        <item x="77"/>
        <item x="114"/>
        <item x="315"/>
        <item x="78"/>
        <item x="259"/>
        <item x="317"/>
        <item x="182"/>
        <item x="64"/>
        <item x="240"/>
        <item x="82"/>
        <item x="47"/>
        <item x="90"/>
        <item x="0"/>
        <item x="136"/>
        <item x="6"/>
        <item x="175"/>
        <item x="125"/>
        <item x="62"/>
        <item x="292"/>
        <item x="89"/>
        <item x="237"/>
        <item x="22"/>
        <item x="150"/>
        <item x="17"/>
        <item x="250"/>
        <item x="134"/>
        <item x="109"/>
        <item x="258"/>
        <item x="223"/>
        <item x="295"/>
        <item x="277"/>
        <item x="313"/>
        <item x="226"/>
        <item x="324"/>
        <item x="135"/>
        <item x="245"/>
        <item x="194"/>
        <item x="184"/>
        <item x="302"/>
        <item x="238"/>
        <item x="165"/>
        <item x="13"/>
        <item x="61"/>
        <item x="311"/>
        <item x="176"/>
        <item x="285"/>
        <item x="322"/>
        <item x="204"/>
        <item x="252"/>
        <item x="233"/>
        <item x="104"/>
        <item x="139"/>
        <item x="231"/>
        <item x="298"/>
        <item x="209"/>
        <item x="248"/>
        <item x="157"/>
        <item x="280"/>
        <item x="228"/>
        <item x="98"/>
        <item x="188"/>
        <item x="246"/>
        <item x="54"/>
        <item x="115"/>
        <item x="36"/>
        <item x="162"/>
        <item x="323"/>
        <item x="211"/>
        <item x="7"/>
        <item x="166"/>
        <item x="249"/>
        <item x="53"/>
        <item x="65"/>
        <item x="66"/>
        <item x="164"/>
        <item x="3"/>
        <item x="10"/>
        <item x="51"/>
        <item x="308"/>
        <item x="193"/>
        <item x="103"/>
        <item x="229"/>
        <item x="158"/>
        <item x="210"/>
        <item x="24"/>
        <item x="69"/>
        <item x="58"/>
        <item x="276"/>
        <item x="38"/>
        <item x="84"/>
        <item x="76"/>
        <item x="305"/>
        <item x="221"/>
        <item x="181"/>
        <item x="68"/>
        <item x="40"/>
        <item x="4"/>
        <item x="205"/>
        <item x="99"/>
        <item x="168"/>
        <item x="185"/>
        <item x="11"/>
        <item x="112"/>
        <item x="71"/>
        <item x="37"/>
        <item x="85"/>
        <item x="161"/>
        <item x="110"/>
        <item x="120"/>
        <item x="283"/>
        <item x="26"/>
        <item x="269"/>
        <item x="108"/>
        <item x="296"/>
        <item x="265"/>
        <item x="256"/>
        <item x="316"/>
        <item x="307"/>
        <item x="35"/>
        <item x="79"/>
        <item x="200"/>
        <item x="243"/>
        <item x="212"/>
        <item x="74"/>
        <item x="330"/>
        <item x="325"/>
        <item x="50"/>
        <item x="149"/>
        <item x="92"/>
        <item x="284"/>
        <item x="300"/>
        <item x="171"/>
        <item x="72"/>
        <item x="174"/>
        <item x="236"/>
        <item x="148"/>
        <item x="329"/>
        <item x="253"/>
        <item x="138"/>
        <item x="156"/>
        <item x="189"/>
        <item x="105"/>
        <item x="196"/>
        <item x="264"/>
        <item x="222"/>
        <item x="59"/>
        <item x="191"/>
        <item x="32"/>
        <item x="41"/>
        <item x="213"/>
        <item x="273"/>
        <item x="97"/>
        <item x="214"/>
        <item x="239"/>
        <item x="272"/>
        <item x="306"/>
        <item x="227"/>
        <item x="267"/>
        <item x="83"/>
        <item x="186"/>
        <item x="49"/>
        <item x="192"/>
        <item x="217"/>
        <item x="33"/>
        <item x="143"/>
        <item x="287"/>
        <item x="23"/>
        <item x="232"/>
        <item x="303"/>
        <item x="28"/>
        <item x="52"/>
        <item x="70"/>
        <item x="216"/>
        <item x="328"/>
        <item x="155"/>
        <item x="294"/>
        <item x="201"/>
        <item x="173"/>
        <item x="291"/>
        <item x="118"/>
        <item x="151"/>
        <item x="242"/>
        <item x="131"/>
        <item x="263"/>
        <item x="247"/>
        <item x="1"/>
        <item x="87"/>
        <item x="203"/>
        <item x="262"/>
        <item x="309"/>
        <item x="190"/>
        <item x="215"/>
        <item x="282"/>
        <item x="160"/>
        <item x="113"/>
        <item x="319"/>
        <item x="142"/>
        <item x="178"/>
        <item x="86"/>
        <item x="318"/>
        <item x="290"/>
        <item x="15"/>
        <item x="220"/>
        <item x="128"/>
        <item x="140"/>
        <item x="102"/>
        <item x="124"/>
        <item x="16"/>
        <item x="21"/>
        <item x="153"/>
        <item x="299"/>
        <item x="34"/>
        <item x="159"/>
        <item x="42"/>
        <item x="12"/>
        <item x="48"/>
        <item x="260"/>
        <item x="279"/>
        <item x="25"/>
        <item x="132"/>
        <item x="30"/>
        <item x="281"/>
        <item x="195"/>
        <item x="75"/>
        <item x="167"/>
        <item x="55"/>
        <item x="310"/>
        <item x="312"/>
        <item x="206"/>
        <item x="288"/>
        <item x="60"/>
        <item x="208"/>
        <item x="145"/>
        <item x="121"/>
        <item x="122"/>
        <item x="39"/>
        <item x="268"/>
        <item x="29"/>
        <item x="293"/>
        <item x="2"/>
        <item x="152"/>
        <item x="255"/>
        <item x="8"/>
        <item x="44"/>
        <item x="202"/>
        <item x="199"/>
        <item x="94"/>
        <item x="146"/>
        <item x="147"/>
        <item x="218"/>
        <item x="130"/>
        <item x="63"/>
        <item x="225"/>
        <item x="88"/>
        <item x="93"/>
        <item x="266"/>
        <item x="144"/>
        <item x="244"/>
        <item x="137"/>
        <item x="235"/>
        <item x="18"/>
        <item x="123"/>
        <item x="111"/>
        <item x="141"/>
        <item x="20"/>
        <item x="270"/>
        <item x="304"/>
        <item x="163"/>
        <item x="224"/>
        <item x="289"/>
        <item x="14"/>
        <item x="172"/>
        <item x="46"/>
        <item x="177"/>
        <item x="80"/>
        <item x="126"/>
        <item x="43"/>
        <item x="116"/>
        <item x="183"/>
        <item x="297"/>
        <item t="default"/>
      </items>
    </pivotField>
    <pivotField showAll="0"/>
    <pivotField showAll="0"/>
    <pivotField showAll="0"/>
    <pivotField showAll="0"/>
    <pivotField showAll="0"/>
    <pivotField axis="axisRow" showAll="0">
      <items count="5">
        <item x="0"/>
        <item m="1" x="3"/>
        <item x="1"/>
        <item x="2"/>
        <item t="default"/>
      </items>
    </pivotField>
    <pivotField showAll="0"/>
    <pivotField showAll="0"/>
    <pivotField showAll="0"/>
    <pivotField showAll="0">
      <items count="15">
        <item h="1" sd="0" x="0"/>
        <item h="1" sd="0" x="1"/>
        <item h="1" sd="0" x="2"/>
        <item sd="0" x="3"/>
        <item sd="0" x="4"/>
        <item sd="0" x="5"/>
        <item sd="0" x="6"/>
        <item sd="0" x="7"/>
        <item sd="0" x="8"/>
        <item sd="0" x="9"/>
        <item sd="0" x="10"/>
        <item sd="0" x="11"/>
        <item h="1" sd="0" x="12"/>
        <item h="1"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Fields count="1">
    <field x="11"/>
  </rowFields>
  <rowItems count="4">
    <i>
      <x/>
    </i>
    <i>
      <x v="2"/>
    </i>
    <i>
      <x v="3"/>
    </i>
    <i t="grand">
      <x/>
    </i>
  </rowItems>
  <colItems count="1">
    <i/>
  </colItems>
  <dataFields count="1">
    <dataField name="Count of Order_ID" fld="0" subtotal="count" baseField="0" baseItem="0"/>
  </dataFields>
  <chartFormats count="2">
    <chartFormat chart="17"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AFBB05-535A-4A5F-ACB6-4302ADE8F0B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fieldListSortAscending="1">
  <location ref="B11:D22" firstHeaderRow="1" firstDataRow="2" firstDataCol="1"/>
  <pivotFields count="18">
    <pivotField dataField="1" showAll="0"/>
    <pivotField showAll="0"/>
    <pivotField showAll="0"/>
    <pivotField showAll="0"/>
    <pivotField showAll="0"/>
    <pivotField showAll="0">
      <items count="332">
        <item x="5"/>
        <item x="95"/>
        <item x="56"/>
        <item x="241"/>
        <item x="327"/>
        <item x="119"/>
        <item x="198"/>
        <item x="301"/>
        <item x="314"/>
        <item x="31"/>
        <item x="73"/>
        <item x="254"/>
        <item x="117"/>
        <item x="320"/>
        <item x="106"/>
        <item x="101"/>
        <item x="234"/>
        <item x="67"/>
        <item x="127"/>
        <item x="129"/>
        <item x="81"/>
        <item x="9"/>
        <item x="197"/>
        <item x="271"/>
        <item x="180"/>
        <item x="133"/>
        <item x="286"/>
        <item x="45"/>
        <item x="179"/>
        <item x="170"/>
        <item x="169"/>
        <item x="154"/>
        <item x="257"/>
        <item x="278"/>
        <item x="274"/>
        <item x="107"/>
        <item x="57"/>
        <item x="326"/>
        <item x="19"/>
        <item x="96"/>
        <item x="261"/>
        <item x="321"/>
        <item x="275"/>
        <item x="230"/>
        <item x="27"/>
        <item x="207"/>
        <item x="91"/>
        <item x="100"/>
        <item x="251"/>
        <item x="219"/>
        <item x="187"/>
        <item x="77"/>
        <item x="114"/>
        <item x="315"/>
        <item x="78"/>
        <item x="259"/>
        <item x="317"/>
        <item x="182"/>
        <item x="64"/>
        <item x="240"/>
        <item x="82"/>
        <item x="47"/>
        <item x="90"/>
        <item x="0"/>
        <item x="136"/>
        <item x="6"/>
        <item x="175"/>
        <item x="125"/>
        <item x="62"/>
        <item x="292"/>
        <item x="89"/>
        <item x="237"/>
        <item x="22"/>
        <item x="150"/>
        <item x="17"/>
        <item x="250"/>
        <item x="134"/>
        <item x="109"/>
        <item x="258"/>
        <item x="223"/>
        <item x="295"/>
        <item x="277"/>
        <item x="313"/>
        <item x="226"/>
        <item x="324"/>
        <item x="135"/>
        <item x="245"/>
        <item x="194"/>
        <item x="184"/>
        <item x="302"/>
        <item x="238"/>
        <item x="165"/>
        <item x="13"/>
        <item x="61"/>
        <item x="311"/>
        <item x="176"/>
        <item x="285"/>
        <item x="322"/>
        <item x="204"/>
        <item x="252"/>
        <item x="233"/>
        <item x="104"/>
        <item x="139"/>
        <item x="231"/>
        <item x="298"/>
        <item x="209"/>
        <item x="248"/>
        <item x="157"/>
        <item x="280"/>
        <item x="228"/>
        <item x="98"/>
        <item x="188"/>
        <item x="246"/>
        <item x="54"/>
        <item x="115"/>
        <item x="36"/>
        <item x="162"/>
        <item x="323"/>
        <item x="211"/>
        <item x="7"/>
        <item x="166"/>
        <item x="249"/>
        <item x="53"/>
        <item x="65"/>
        <item x="66"/>
        <item x="164"/>
        <item x="3"/>
        <item x="10"/>
        <item x="51"/>
        <item x="308"/>
        <item x="193"/>
        <item x="103"/>
        <item x="229"/>
        <item x="158"/>
        <item x="210"/>
        <item x="24"/>
        <item x="69"/>
        <item x="58"/>
        <item x="276"/>
        <item x="38"/>
        <item x="84"/>
        <item x="76"/>
        <item x="305"/>
        <item x="221"/>
        <item x="181"/>
        <item x="68"/>
        <item x="40"/>
        <item x="4"/>
        <item x="205"/>
        <item x="99"/>
        <item x="168"/>
        <item x="185"/>
        <item x="11"/>
        <item x="112"/>
        <item x="71"/>
        <item x="37"/>
        <item x="85"/>
        <item x="161"/>
        <item x="110"/>
        <item x="120"/>
        <item x="283"/>
        <item x="26"/>
        <item x="269"/>
        <item x="108"/>
        <item x="296"/>
        <item x="265"/>
        <item x="256"/>
        <item x="316"/>
        <item x="307"/>
        <item x="35"/>
        <item x="79"/>
        <item x="200"/>
        <item x="243"/>
        <item x="212"/>
        <item x="74"/>
        <item x="330"/>
        <item x="325"/>
        <item x="50"/>
        <item x="149"/>
        <item x="92"/>
        <item x="284"/>
        <item x="300"/>
        <item x="171"/>
        <item x="72"/>
        <item x="174"/>
        <item x="236"/>
        <item x="148"/>
        <item x="329"/>
        <item x="253"/>
        <item x="138"/>
        <item x="156"/>
        <item x="189"/>
        <item x="105"/>
        <item x="196"/>
        <item x="264"/>
        <item x="222"/>
        <item x="59"/>
        <item x="191"/>
        <item x="32"/>
        <item x="41"/>
        <item x="213"/>
        <item x="273"/>
        <item x="97"/>
        <item x="214"/>
        <item x="239"/>
        <item x="272"/>
        <item x="306"/>
        <item x="227"/>
        <item x="267"/>
        <item x="83"/>
        <item x="186"/>
        <item x="49"/>
        <item x="192"/>
        <item x="217"/>
        <item x="33"/>
        <item x="143"/>
        <item x="287"/>
        <item x="23"/>
        <item x="232"/>
        <item x="303"/>
        <item x="28"/>
        <item x="52"/>
        <item x="70"/>
        <item x="216"/>
        <item x="328"/>
        <item x="155"/>
        <item x="294"/>
        <item x="201"/>
        <item x="173"/>
        <item x="291"/>
        <item x="118"/>
        <item x="151"/>
        <item x="242"/>
        <item x="131"/>
        <item x="263"/>
        <item x="247"/>
        <item x="1"/>
        <item x="87"/>
        <item x="203"/>
        <item x="262"/>
        <item x="309"/>
        <item x="190"/>
        <item x="215"/>
        <item x="282"/>
        <item x="160"/>
        <item x="113"/>
        <item x="319"/>
        <item x="142"/>
        <item x="178"/>
        <item x="86"/>
        <item x="318"/>
        <item x="290"/>
        <item x="15"/>
        <item x="220"/>
        <item x="128"/>
        <item x="140"/>
        <item x="102"/>
        <item x="124"/>
        <item x="16"/>
        <item x="21"/>
        <item x="153"/>
        <item x="299"/>
        <item x="34"/>
        <item x="159"/>
        <item x="42"/>
        <item x="12"/>
        <item x="48"/>
        <item x="260"/>
        <item x="279"/>
        <item x="25"/>
        <item x="132"/>
        <item x="30"/>
        <item x="281"/>
        <item x="195"/>
        <item x="75"/>
        <item x="167"/>
        <item x="55"/>
        <item x="310"/>
        <item x="312"/>
        <item x="206"/>
        <item x="288"/>
        <item x="60"/>
        <item x="208"/>
        <item x="145"/>
        <item x="121"/>
        <item x="122"/>
        <item x="39"/>
        <item x="268"/>
        <item x="29"/>
        <item x="293"/>
        <item x="2"/>
        <item x="152"/>
        <item x="255"/>
        <item x="8"/>
        <item x="44"/>
        <item x="202"/>
        <item x="199"/>
        <item x="94"/>
        <item x="146"/>
        <item x="147"/>
        <item x="218"/>
        <item x="130"/>
        <item x="63"/>
        <item x="225"/>
        <item x="88"/>
        <item x="93"/>
        <item x="266"/>
        <item x="144"/>
        <item x="244"/>
        <item x="137"/>
        <item x="235"/>
        <item x="18"/>
        <item x="123"/>
        <item x="111"/>
        <item x="141"/>
        <item x="20"/>
        <item x="270"/>
        <item x="304"/>
        <item x="163"/>
        <item x="224"/>
        <item x="289"/>
        <item x="14"/>
        <item x="172"/>
        <item x="46"/>
        <item x="177"/>
        <item x="80"/>
        <item x="126"/>
        <item x="43"/>
        <item x="116"/>
        <item x="183"/>
        <item x="297"/>
        <item t="default"/>
      </items>
    </pivotField>
    <pivotField showAll="0"/>
    <pivotField showAll="0"/>
    <pivotField showAll="0"/>
    <pivotField showAll="0"/>
    <pivotField showAll="0"/>
    <pivotField showAll="0">
      <items count="5">
        <item x="0"/>
        <item h="1" m="1" x="3"/>
        <item h="1" x="1"/>
        <item h="1" x="2"/>
        <item t="default"/>
      </items>
    </pivotField>
    <pivotField showAll="0"/>
    <pivotField showAll="0"/>
    <pivotField showAll="0"/>
    <pivotField axis="axisRow" showAll="0">
      <items count="15">
        <item h="1" sd="0" x="0"/>
        <item h="1" sd="0" x="1"/>
        <item h="1" sd="0" x="2"/>
        <item sd="0" x="3"/>
        <item sd="0" x="4"/>
        <item sd="0" x="5"/>
        <item sd="0" x="6"/>
        <item sd="0" x="7"/>
        <item sd="0" x="8"/>
        <item sd="0" x="9"/>
        <item sd="0" x="10"/>
        <item sd="0" x="11"/>
        <item h="1" sd="0" x="12"/>
        <item h="1" sd="0" x="13"/>
        <item t="default"/>
      </items>
    </pivotField>
    <pivotField showAll="0">
      <items count="7">
        <item sd="0" x="0"/>
        <item sd="0" x="1"/>
        <item sd="0" x="2"/>
        <item sd="0" x="3"/>
        <item sd="0" x="4"/>
        <item sd="0" x="5"/>
        <item t="default"/>
      </items>
    </pivotField>
    <pivotField axis="axisCol" showAll="0">
      <items count="6">
        <item h="1" sd="0" x="0"/>
        <item h="1" sd="0" x="1"/>
        <item sd="0" x="2"/>
        <item h="1" sd="0" x="3"/>
        <item h="1" sd="0" x="4"/>
        <item t="default"/>
      </items>
    </pivotField>
  </pivotFields>
  <rowFields count="1">
    <field x="15"/>
  </rowFields>
  <rowItems count="10">
    <i>
      <x v="3"/>
    </i>
    <i>
      <x v="4"/>
    </i>
    <i>
      <x v="5"/>
    </i>
    <i>
      <x v="6"/>
    </i>
    <i>
      <x v="7"/>
    </i>
    <i>
      <x v="8"/>
    </i>
    <i>
      <x v="9"/>
    </i>
    <i>
      <x v="10"/>
    </i>
    <i>
      <x v="11"/>
    </i>
    <i t="grand">
      <x/>
    </i>
  </rowItems>
  <colFields count="1">
    <field x="17"/>
  </colFields>
  <colItems count="2">
    <i>
      <x v="2"/>
    </i>
    <i t="grand">
      <x/>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4FCE51-EFA2-4448-8208-747A616E1E38}"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fieldListSortAscending="1">
  <location ref="B47:C49" firstHeaderRow="1" firstDataRow="1" firstDataCol="1"/>
  <pivotFields count="18">
    <pivotField dataField="1" showAll="0"/>
    <pivotField showAll="0"/>
    <pivotField showAll="0"/>
    <pivotField showAll="0"/>
    <pivotField showAll="0"/>
    <pivotField showAll="0">
      <items count="332">
        <item x="5"/>
        <item x="95"/>
        <item x="56"/>
        <item x="241"/>
        <item x="327"/>
        <item x="119"/>
        <item x="198"/>
        <item x="301"/>
        <item x="314"/>
        <item x="31"/>
        <item x="73"/>
        <item x="254"/>
        <item x="117"/>
        <item x="320"/>
        <item x="106"/>
        <item x="101"/>
        <item x="234"/>
        <item x="67"/>
        <item x="127"/>
        <item x="129"/>
        <item x="81"/>
        <item x="9"/>
        <item x="197"/>
        <item x="271"/>
        <item x="180"/>
        <item x="133"/>
        <item x="286"/>
        <item x="45"/>
        <item x="179"/>
        <item x="170"/>
        <item x="169"/>
        <item x="154"/>
        <item x="257"/>
        <item x="278"/>
        <item x="274"/>
        <item x="107"/>
        <item x="57"/>
        <item x="326"/>
        <item x="19"/>
        <item x="96"/>
        <item x="261"/>
        <item x="321"/>
        <item x="275"/>
        <item x="230"/>
        <item x="27"/>
        <item x="207"/>
        <item x="91"/>
        <item x="100"/>
        <item x="251"/>
        <item x="219"/>
        <item x="187"/>
        <item x="77"/>
        <item x="114"/>
        <item x="315"/>
        <item x="78"/>
        <item x="259"/>
        <item x="317"/>
        <item x="182"/>
        <item x="64"/>
        <item x="240"/>
        <item x="82"/>
        <item x="47"/>
        <item x="90"/>
        <item x="0"/>
        <item x="136"/>
        <item x="6"/>
        <item x="175"/>
        <item x="125"/>
        <item x="62"/>
        <item x="292"/>
        <item x="89"/>
        <item x="237"/>
        <item x="22"/>
        <item x="150"/>
        <item x="17"/>
        <item x="250"/>
        <item x="134"/>
        <item x="109"/>
        <item x="258"/>
        <item x="223"/>
        <item x="295"/>
        <item x="277"/>
        <item x="313"/>
        <item x="226"/>
        <item x="324"/>
        <item x="135"/>
        <item x="245"/>
        <item x="194"/>
        <item x="184"/>
        <item x="302"/>
        <item x="238"/>
        <item x="165"/>
        <item x="13"/>
        <item x="61"/>
        <item x="311"/>
        <item x="176"/>
        <item x="285"/>
        <item x="322"/>
        <item x="204"/>
        <item x="252"/>
        <item x="233"/>
        <item x="104"/>
        <item x="139"/>
        <item x="231"/>
        <item x="298"/>
        <item x="209"/>
        <item x="248"/>
        <item x="157"/>
        <item x="280"/>
        <item x="228"/>
        <item x="98"/>
        <item x="188"/>
        <item x="246"/>
        <item x="54"/>
        <item x="115"/>
        <item x="36"/>
        <item x="162"/>
        <item x="323"/>
        <item x="211"/>
        <item x="7"/>
        <item x="166"/>
        <item x="249"/>
        <item x="53"/>
        <item x="65"/>
        <item x="66"/>
        <item x="164"/>
        <item x="3"/>
        <item x="10"/>
        <item x="51"/>
        <item x="308"/>
        <item x="193"/>
        <item x="103"/>
        <item x="229"/>
        <item x="158"/>
        <item x="210"/>
        <item x="24"/>
        <item x="69"/>
        <item x="58"/>
        <item x="276"/>
        <item x="38"/>
        <item x="84"/>
        <item x="76"/>
        <item x="305"/>
        <item x="221"/>
        <item x="181"/>
        <item x="68"/>
        <item x="40"/>
        <item x="4"/>
        <item x="205"/>
        <item x="99"/>
        <item x="168"/>
        <item x="185"/>
        <item x="11"/>
        <item x="112"/>
        <item x="71"/>
        <item x="37"/>
        <item x="85"/>
        <item x="161"/>
        <item x="110"/>
        <item x="120"/>
        <item x="283"/>
        <item x="26"/>
        <item x="269"/>
        <item x="108"/>
        <item x="296"/>
        <item x="265"/>
        <item x="256"/>
        <item x="316"/>
        <item x="307"/>
        <item x="35"/>
        <item x="79"/>
        <item x="200"/>
        <item x="243"/>
        <item x="212"/>
        <item x="74"/>
        <item x="330"/>
        <item x="325"/>
        <item x="50"/>
        <item x="149"/>
        <item x="92"/>
        <item x="284"/>
        <item x="300"/>
        <item x="171"/>
        <item x="72"/>
        <item x="174"/>
        <item x="236"/>
        <item x="148"/>
        <item x="329"/>
        <item x="253"/>
        <item x="138"/>
        <item x="156"/>
        <item x="189"/>
        <item x="105"/>
        <item x="196"/>
        <item x="264"/>
        <item x="222"/>
        <item x="59"/>
        <item x="191"/>
        <item x="32"/>
        <item x="41"/>
        <item x="213"/>
        <item x="273"/>
        <item x="97"/>
        <item x="214"/>
        <item x="239"/>
        <item x="272"/>
        <item x="306"/>
        <item x="227"/>
        <item x="267"/>
        <item x="83"/>
        <item x="186"/>
        <item x="49"/>
        <item x="192"/>
        <item x="217"/>
        <item x="33"/>
        <item x="143"/>
        <item x="287"/>
        <item x="23"/>
        <item x="232"/>
        <item x="303"/>
        <item x="28"/>
        <item x="52"/>
        <item x="70"/>
        <item x="216"/>
        <item x="328"/>
        <item x="155"/>
        <item x="294"/>
        <item x="201"/>
        <item x="173"/>
        <item x="291"/>
        <item x="118"/>
        <item x="151"/>
        <item x="242"/>
        <item x="131"/>
        <item x="263"/>
        <item x="247"/>
        <item x="1"/>
        <item x="87"/>
        <item x="203"/>
        <item x="262"/>
        <item x="309"/>
        <item x="190"/>
        <item x="215"/>
        <item x="282"/>
        <item x="160"/>
        <item x="113"/>
        <item x="319"/>
        <item x="142"/>
        <item x="178"/>
        <item x="86"/>
        <item x="318"/>
        <item x="290"/>
        <item x="15"/>
        <item x="220"/>
        <item x="128"/>
        <item x="140"/>
        <item x="102"/>
        <item x="124"/>
        <item x="16"/>
        <item x="21"/>
        <item x="153"/>
        <item x="299"/>
        <item x="34"/>
        <item x="159"/>
        <item x="42"/>
        <item x="12"/>
        <item x="48"/>
        <item x="260"/>
        <item x="279"/>
        <item x="25"/>
        <item x="132"/>
        <item x="30"/>
        <item x="281"/>
        <item x="195"/>
        <item x="75"/>
        <item x="167"/>
        <item x="55"/>
        <item x="310"/>
        <item x="312"/>
        <item x="206"/>
        <item x="288"/>
        <item x="60"/>
        <item x="208"/>
        <item x="145"/>
        <item x="121"/>
        <item x="122"/>
        <item x="39"/>
        <item x="268"/>
        <item x="29"/>
        <item x="293"/>
        <item x="2"/>
        <item x="152"/>
        <item x="255"/>
        <item x="8"/>
        <item x="44"/>
        <item x="202"/>
        <item x="199"/>
        <item x="94"/>
        <item x="146"/>
        <item x="147"/>
        <item x="218"/>
        <item x="130"/>
        <item x="63"/>
        <item x="225"/>
        <item x="88"/>
        <item x="93"/>
        <item x="266"/>
        <item x="144"/>
        <item x="244"/>
        <item x="137"/>
        <item x="235"/>
        <item x="18"/>
        <item x="123"/>
        <item x="111"/>
        <item x="141"/>
        <item x="20"/>
        <item x="270"/>
        <item x="304"/>
        <item x="163"/>
        <item x="224"/>
        <item x="289"/>
        <item x="14"/>
        <item x="172"/>
        <item x="46"/>
        <item x="177"/>
        <item x="80"/>
        <item x="126"/>
        <item x="43"/>
        <item x="116"/>
        <item x="183"/>
        <item x="297"/>
        <item t="default"/>
      </items>
    </pivotField>
    <pivotField showAll="0"/>
    <pivotField showAll="0"/>
    <pivotField showAll="0"/>
    <pivotField showAll="0"/>
    <pivotField showAll="0"/>
    <pivotField axis="axisRow" showAll="0">
      <items count="5">
        <item x="0"/>
        <item h="1" m="1" x="3"/>
        <item h="1" x="1"/>
        <item h="1" x="2"/>
        <item t="default"/>
      </items>
    </pivotField>
    <pivotField showAll="0"/>
    <pivotField showAll="0"/>
    <pivotField showAll="0"/>
    <pivotField showAll="0">
      <items count="15">
        <item h="1" sd="0" x="0"/>
        <item h="1" sd="0" x="1"/>
        <item h="1" sd="0" x="2"/>
        <item sd="0" x="3"/>
        <item sd="0" x="4"/>
        <item sd="0" x="5"/>
        <item sd="0" x="6"/>
        <item sd="0" x="7"/>
        <item sd="0" x="8"/>
        <item sd="0" x="9"/>
        <item sd="0" x="10"/>
        <item sd="0" x="11"/>
        <item h="1" sd="0" x="12"/>
        <item h="1"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Fields count="1">
    <field x="11"/>
  </rowFields>
  <rowItems count="2">
    <i>
      <x/>
    </i>
    <i t="grand">
      <x/>
    </i>
  </rowItems>
  <colItems count="1">
    <i/>
  </colItems>
  <dataFields count="1">
    <dataField name="Count of Order_ID" fld="0" subtotal="count" baseField="0" baseItem="0"/>
  </dataFields>
  <chartFormats count="1">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679EF10-4149-484A-BAD2-FD6959B60EA4}"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fieldListSortAscending="1">
  <location ref="F64:H67" firstHeaderRow="0" firstDataRow="1" firstDataCol="1"/>
  <pivotFields count="18">
    <pivotField dataField="1" showAll="0"/>
    <pivotField showAll="0"/>
    <pivotField showAll="0"/>
    <pivotField showAll="0"/>
    <pivotField showAll="0"/>
    <pivotField showAll="0">
      <items count="332">
        <item x="5"/>
        <item x="95"/>
        <item x="56"/>
        <item x="241"/>
        <item x="327"/>
        <item x="119"/>
        <item x="198"/>
        <item x="301"/>
        <item x="314"/>
        <item x="31"/>
        <item x="73"/>
        <item x="254"/>
        <item x="117"/>
        <item x="320"/>
        <item x="106"/>
        <item x="101"/>
        <item x="234"/>
        <item x="67"/>
        <item x="127"/>
        <item x="129"/>
        <item x="81"/>
        <item x="9"/>
        <item x="197"/>
        <item x="271"/>
        <item x="180"/>
        <item x="133"/>
        <item x="286"/>
        <item x="45"/>
        <item x="179"/>
        <item x="170"/>
        <item x="169"/>
        <item x="154"/>
        <item x="257"/>
        <item x="278"/>
        <item x="274"/>
        <item x="107"/>
        <item x="57"/>
        <item x="326"/>
        <item x="19"/>
        <item x="96"/>
        <item x="261"/>
        <item x="321"/>
        <item x="275"/>
        <item x="230"/>
        <item x="27"/>
        <item x="207"/>
        <item x="91"/>
        <item x="100"/>
        <item x="251"/>
        <item x="219"/>
        <item x="187"/>
        <item x="77"/>
        <item x="114"/>
        <item x="315"/>
        <item x="78"/>
        <item x="259"/>
        <item x="317"/>
        <item x="182"/>
        <item x="64"/>
        <item x="240"/>
        <item x="82"/>
        <item x="47"/>
        <item x="90"/>
        <item x="0"/>
        <item x="136"/>
        <item x="6"/>
        <item x="175"/>
        <item x="125"/>
        <item x="62"/>
        <item x="292"/>
        <item x="89"/>
        <item x="237"/>
        <item x="22"/>
        <item x="150"/>
        <item x="17"/>
        <item x="250"/>
        <item x="134"/>
        <item x="109"/>
        <item x="258"/>
        <item x="223"/>
        <item x="295"/>
        <item x="277"/>
        <item x="313"/>
        <item x="226"/>
        <item x="324"/>
        <item x="135"/>
        <item x="245"/>
        <item x="194"/>
        <item x="184"/>
        <item x="302"/>
        <item x="238"/>
        <item x="165"/>
        <item x="13"/>
        <item x="61"/>
        <item x="311"/>
        <item x="176"/>
        <item x="285"/>
        <item x="322"/>
        <item x="204"/>
        <item x="252"/>
        <item x="233"/>
        <item x="104"/>
        <item x="139"/>
        <item x="231"/>
        <item x="298"/>
        <item x="209"/>
        <item x="248"/>
        <item x="157"/>
        <item x="280"/>
        <item x="228"/>
        <item x="98"/>
        <item x="188"/>
        <item x="246"/>
        <item x="54"/>
        <item x="115"/>
        <item x="36"/>
        <item x="162"/>
        <item x="323"/>
        <item x="211"/>
        <item x="7"/>
        <item x="166"/>
        <item x="249"/>
        <item x="53"/>
        <item x="65"/>
        <item x="66"/>
        <item x="164"/>
        <item x="3"/>
        <item x="10"/>
        <item x="51"/>
        <item x="308"/>
        <item x="193"/>
        <item x="103"/>
        <item x="229"/>
        <item x="158"/>
        <item x="210"/>
        <item x="24"/>
        <item x="69"/>
        <item x="58"/>
        <item x="276"/>
        <item x="38"/>
        <item x="84"/>
        <item x="76"/>
        <item x="305"/>
        <item x="221"/>
        <item x="181"/>
        <item x="68"/>
        <item x="40"/>
        <item x="4"/>
        <item x="205"/>
        <item x="99"/>
        <item x="168"/>
        <item x="185"/>
        <item x="11"/>
        <item x="112"/>
        <item x="71"/>
        <item x="37"/>
        <item x="85"/>
        <item x="161"/>
        <item x="110"/>
        <item x="120"/>
        <item x="283"/>
        <item x="26"/>
        <item x="269"/>
        <item x="108"/>
        <item x="296"/>
        <item x="265"/>
        <item x="256"/>
        <item x="316"/>
        <item x="307"/>
        <item x="35"/>
        <item x="79"/>
        <item x="200"/>
        <item x="243"/>
        <item x="212"/>
        <item x="74"/>
        <item x="330"/>
        <item x="325"/>
        <item x="50"/>
        <item x="149"/>
        <item x="92"/>
        <item x="284"/>
        <item x="300"/>
        <item x="171"/>
        <item x="72"/>
        <item x="174"/>
        <item x="236"/>
        <item x="148"/>
        <item x="329"/>
        <item x="253"/>
        <item x="138"/>
        <item x="156"/>
        <item x="189"/>
        <item x="105"/>
        <item x="196"/>
        <item x="264"/>
        <item x="222"/>
        <item x="59"/>
        <item x="191"/>
        <item x="32"/>
        <item x="41"/>
        <item x="213"/>
        <item x="273"/>
        <item x="97"/>
        <item x="214"/>
        <item x="239"/>
        <item x="272"/>
        <item x="306"/>
        <item x="227"/>
        <item x="267"/>
        <item x="83"/>
        <item x="186"/>
        <item x="49"/>
        <item x="192"/>
        <item x="217"/>
        <item x="33"/>
        <item x="143"/>
        <item x="287"/>
        <item x="23"/>
        <item x="232"/>
        <item x="303"/>
        <item x="28"/>
        <item x="52"/>
        <item x="70"/>
        <item x="216"/>
        <item x="328"/>
        <item x="155"/>
        <item x="294"/>
        <item x="201"/>
        <item x="173"/>
        <item x="291"/>
        <item x="118"/>
        <item x="151"/>
        <item x="242"/>
        <item x="131"/>
        <item x="263"/>
        <item x="247"/>
        <item x="1"/>
        <item x="87"/>
        <item x="203"/>
        <item x="262"/>
        <item x="309"/>
        <item x="190"/>
        <item x="215"/>
        <item x="282"/>
        <item x="160"/>
        <item x="113"/>
        <item x="319"/>
        <item x="142"/>
        <item x="178"/>
        <item x="86"/>
        <item x="318"/>
        <item x="290"/>
        <item x="15"/>
        <item x="220"/>
        <item x="128"/>
        <item x="140"/>
        <item x="102"/>
        <item x="124"/>
        <item x="16"/>
        <item x="21"/>
        <item x="153"/>
        <item x="299"/>
        <item x="34"/>
        <item x="159"/>
        <item x="42"/>
        <item x="12"/>
        <item x="48"/>
        <item x="260"/>
        <item x="279"/>
        <item x="25"/>
        <item x="132"/>
        <item x="30"/>
        <item x="281"/>
        <item x="195"/>
        <item x="75"/>
        <item x="167"/>
        <item x="55"/>
        <item x="310"/>
        <item x="312"/>
        <item x="206"/>
        <item x="288"/>
        <item x="60"/>
        <item x="208"/>
        <item x="145"/>
        <item x="121"/>
        <item x="122"/>
        <item x="39"/>
        <item x="268"/>
        <item x="29"/>
        <item x="293"/>
        <item x="2"/>
        <item x="152"/>
        <item x="255"/>
        <item x="8"/>
        <item x="44"/>
        <item x="202"/>
        <item x="199"/>
        <item x="94"/>
        <item x="146"/>
        <item x="147"/>
        <item x="218"/>
        <item x="130"/>
        <item x="63"/>
        <item x="225"/>
        <item x="88"/>
        <item x="93"/>
        <item x="266"/>
        <item x="144"/>
        <item x="244"/>
        <item x="137"/>
        <item x="235"/>
        <item x="18"/>
        <item x="123"/>
        <item x="111"/>
        <item x="141"/>
        <item x="20"/>
        <item x="270"/>
        <item x="304"/>
        <item x="163"/>
        <item x="224"/>
        <item x="289"/>
        <item x="14"/>
        <item x="172"/>
        <item x="46"/>
        <item x="177"/>
        <item x="80"/>
        <item x="126"/>
        <item x="43"/>
        <item x="116"/>
        <item x="183"/>
        <item x="297"/>
        <item t="default"/>
      </items>
    </pivotField>
    <pivotField showAll="0"/>
    <pivotField showAll="0"/>
    <pivotField dataField="1" showAll="0"/>
    <pivotField showAll="0"/>
    <pivotField showAll="0"/>
    <pivotField showAll="0">
      <items count="5">
        <item x="0"/>
        <item h="1" m="1" x="3"/>
        <item h="1" x="1"/>
        <item h="1" x="2"/>
        <item t="default"/>
      </items>
    </pivotField>
    <pivotField showAll="0"/>
    <pivotField showAll="0"/>
    <pivotField showAll="0"/>
    <pivotField showAll="0">
      <items count="15">
        <item h="1" sd="0" x="0"/>
        <item h="1" sd="0" x="1"/>
        <item h="1" sd="0" x="2"/>
        <item sd="0" x="3"/>
        <item sd="0" x="4"/>
        <item sd="0" x="5"/>
        <item sd="0" x="6"/>
        <item sd="0" x="7"/>
        <item sd="0" x="8"/>
        <item sd="0" x="9"/>
        <item sd="0" x="10"/>
        <item sd="0" x="11"/>
        <item h="1" sd="0" x="12"/>
        <item h="1"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7"/>
  </rowFields>
  <rowItems count="3">
    <i>
      <x v="1"/>
    </i>
    <i>
      <x v="2"/>
    </i>
    <i t="grand">
      <x/>
    </i>
  </rowItems>
  <colFields count="1">
    <field x="-2"/>
  </colFields>
  <colItems count="2">
    <i>
      <x/>
    </i>
    <i i="1">
      <x v="1"/>
    </i>
  </colItems>
  <dataFields count="2">
    <dataField name="Count of Order_ID" fld="0" subtotal="count" baseField="0" baseItem="0"/>
    <dataField name="Sum of Quantity" fld="8" baseField="0" baseItem="0"/>
  </dataFields>
  <chartFormats count="1">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CFAC6DD-873B-4789-8A57-0BF2202C087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fieldListSortAscending="1">
  <location ref="F37:G42" firstHeaderRow="1" firstDataRow="1" firstDataCol="1"/>
  <pivotFields count="18">
    <pivotField dataField="1" showAll="0"/>
    <pivotField showAll="0"/>
    <pivotField showAll="0"/>
    <pivotField showAll="0"/>
    <pivotField showAll="0"/>
    <pivotField showAll="0">
      <items count="332">
        <item x="5"/>
        <item x="95"/>
        <item x="56"/>
        <item x="241"/>
        <item x="327"/>
        <item x="119"/>
        <item x="198"/>
        <item x="301"/>
        <item x="314"/>
        <item x="31"/>
        <item x="73"/>
        <item x="254"/>
        <item x="117"/>
        <item x="320"/>
        <item x="106"/>
        <item x="101"/>
        <item x="234"/>
        <item x="67"/>
        <item x="127"/>
        <item x="129"/>
        <item x="81"/>
        <item x="9"/>
        <item x="197"/>
        <item x="271"/>
        <item x="180"/>
        <item x="133"/>
        <item x="286"/>
        <item x="45"/>
        <item x="179"/>
        <item x="170"/>
        <item x="169"/>
        <item x="154"/>
        <item x="257"/>
        <item x="278"/>
        <item x="274"/>
        <item x="107"/>
        <item x="57"/>
        <item x="326"/>
        <item x="19"/>
        <item x="96"/>
        <item x="261"/>
        <item x="321"/>
        <item x="275"/>
        <item x="230"/>
        <item x="27"/>
        <item x="207"/>
        <item x="91"/>
        <item x="100"/>
        <item x="251"/>
        <item x="219"/>
        <item x="187"/>
        <item x="77"/>
        <item x="114"/>
        <item x="315"/>
        <item x="78"/>
        <item x="259"/>
        <item x="317"/>
        <item x="182"/>
        <item x="64"/>
        <item x="240"/>
        <item x="82"/>
        <item x="47"/>
        <item x="90"/>
        <item x="0"/>
        <item x="136"/>
        <item x="6"/>
        <item x="175"/>
        <item x="125"/>
        <item x="62"/>
        <item x="292"/>
        <item x="89"/>
        <item x="237"/>
        <item x="22"/>
        <item x="150"/>
        <item x="17"/>
        <item x="250"/>
        <item x="134"/>
        <item x="109"/>
        <item x="258"/>
        <item x="223"/>
        <item x="295"/>
        <item x="277"/>
        <item x="313"/>
        <item x="226"/>
        <item x="324"/>
        <item x="135"/>
        <item x="245"/>
        <item x="194"/>
        <item x="184"/>
        <item x="302"/>
        <item x="238"/>
        <item x="165"/>
        <item x="13"/>
        <item x="61"/>
        <item x="311"/>
        <item x="176"/>
        <item x="285"/>
        <item x="322"/>
        <item x="204"/>
        <item x="252"/>
        <item x="233"/>
        <item x="104"/>
        <item x="139"/>
        <item x="231"/>
        <item x="298"/>
        <item x="209"/>
        <item x="248"/>
        <item x="157"/>
        <item x="280"/>
        <item x="228"/>
        <item x="98"/>
        <item x="188"/>
        <item x="246"/>
        <item x="54"/>
        <item x="115"/>
        <item x="36"/>
        <item x="162"/>
        <item x="323"/>
        <item x="211"/>
        <item x="7"/>
        <item x="166"/>
        <item x="249"/>
        <item x="53"/>
        <item x="65"/>
        <item x="66"/>
        <item x="164"/>
        <item x="3"/>
        <item x="10"/>
        <item x="51"/>
        <item x="308"/>
        <item x="193"/>
        <item x="103"/>
        <item x="229"/>
        <item x="158"/>
        <item x="210"/>
        <item x="24"/>
        <item x="69"/>
        <item x="58"/>
        <item x="276"/>
        <item x="38"/>
        <item x="84"/>
        <item x="76"/>
        <item x="305"/>
        <item x="221"/>
        <item x="181"/>
        <item x="68"/>
        <item x="40"/>
        <item x="4"/>
        <item x="205"/>
        <item x="99"/>
        <item x="168"/>
        <item x="185"/>
        <item x="11"/>
        <item x="112"/>
        <item x="71"/>
        <item x="37"/>
        <item x="85"/>
        <item x="161"/>
        <item x="110"/>
        <item x="120"/>
        <item x="283"/>
        <item x="26"/>
        <item x="269"/>
        <item x="108"/>
        <item x="296"/>
        <item x="265"/>
        <item x="256"/>
        <item x="316"/>
        <item x="307"/>
        <item x="35"/>
        <item x="79"/>
        <item x="200"/>
        <item x="243"/>
        <item x="212"/>
        <item x="74"/>
        <item x="330"/>
        <item x="325"/>
        <item x="50"/>
        <item x="149"/>
        <item x="92"/>
        <item x="284"/>
        <item x="300"/>
        <item x="171"/>
        <item x="72"/>
        <item x="174"/>
        <item x="236"/>
        <item x="148"/>
        <item x="329"/>
        <item x="253"/>
        <item x="138"/>
        <item x="156"/>
        <item x="189"/>
        <item x="105"/>
        <item x="196"/>
        <item x="264"/>
        <item x="222"/>
        <item x="59"/>
        <item x="191"/>
        <item x="32"/>
        <item x="41"/>
        <item x="213"/>
        <item x="273"/>
        <item x="97"/>
        <item x="214"/>
        <item x="239"/>
        <item x="272"/>
        <item x="306"/>
        <item x="227"/>
        <item x="267"/>
        <item x="83"/>
        <item x="186"/>
        <item x="49"/>
        <item x="192"/>
        <item x="217"/>
        <item x="33"/>
        <item x="143"/>
        <item x="287"/>
        <item x="23"/>
        <item x="232"/>
        <item x="303"/>
        <item x="28"/>
        <item x="52"/>
        <item x="70"/>
        <item x="216"/>
        <item x="328"/>
        <item x="155"/>
        <item x="294"/>
        <item x="201"/>
        <item x="173"/>
        <item x="291"/>
        <item x="118"/>
        <item x="151"/>
        <item x="242"/>
        <item x="131"/>
        <item x="263"/>
        <item x="247"/>
        <item x="1"/>
        <item x="87"/>
        <item x="203"/>
        <item x="262"/>
        <item x="309"/>
        <item x="190"/>
        <item x="215"/>
        <item x="282"/>
        <item x="160"/>
        <item x="113"/>
        <item x="319"/>
        <item x="142"/>
        <item x="178"/>
        <item x="86"/>
        <item x="318"/>
        <item x="290"/>
        <item x="15"/>
        <item x="220"/>
        <item x="128"/>
        <item x="140"/>
        <item x="102"/>
        <item x="124"/>
        <item x="16"/>
        <item x="21"/>
        <item x="153"/>
        <item x="299"/>
        <item x="34"/>
        <item x="159"/>
        <item x="42"/>
        <item x="12"/>
        <item x="48"/>
        <item x="260"/>
        <item x="279"/>
        <item x="25"/>
        <item x="132"/>
        <item x="30"/>
        <item x="281"/>
        <item x="195"/>
        <item x="75"/>
        <item x="167"/>
        <item x="55"/>
        <item x="310"/>
        <item x="312"/>
        <item x="206"/>
        <item x="288"/>
        <item x="60"/>
        <item x="208"/>
        <item x="145"/>
        <item x="121"/>
        <item x="122"/>
        <item x="39"/>
        <item x="268"/>
        <item x="29"/>
        <item x="293"/>
        <item x="2"/>
        <item x="152"/>
        <item x="255"/>
        <item x="8"/>
        <item x="44"/>
        <item x="202"/>
        <item x="199"/>
        <item x="94"/>
        <item x="146"/>
        <item x="147"/>
        <item x="218"/>
        <item x="130"/>
        <item x="63"/>
        <item x="225"/>
        <item x="88"/>
        <item x="93"/>
        <item x="266"/>
        <item x="144"/>
        <item x="244"/>
        <item x="137"/>
        <item x="235"/>
        <item x="18"/>
        <item x="123"/>
        <item x="111"/>
        <item x="141"/>
        <item x="20"/>
        <item x="270"/>
        <item x="304"/>
        <item x="163"/>
        <item x="224"/>
        <item x="289"/>
        <item x="14"/>
        <item x="172"/>
        <item x="46"/>
        <item x="177"/>
        <item x="80"/>
        <item x="126"/>
        <item x="43"/>
        <item x="116"/>
        <item x="183"/>
        <item x="297"/>
        <item t="default"/>
      </items>
    </pivotField>
    <pivotField showAll="0"/>
    <pivotField showAll="0"/>
    <pivotField showAll="0"/>
    <pivotField showAll="0"/>
    <pivotField showAll="0"/>
    <pivotField showAll="0">
      <items count="5">
        <item x="0"/>
        <item h="1" m="1" x="3"/>
        <item h="1" x="1"/>
        <item h="1" x="2"/>
        <item t="default"/>
      </items>
    </pivotField>
    <pivotField axis="axisRow" showAll="0">
      <items count="5">
        <item x="3"/>
        <item x="1"/>
        <item x="2"/>
        <item x="0"/>
        <item t="default"/>
      </items>
    </pivotField>
    <pivotField showAll="0"/>
    <pivotField showAll="0"/>
    <pivotField showAll="0">
      <items count="15">
        <item h="1" sd="0" x="0"/>
        <item h="1" sd="0" x="1"/>
        <item h="1" sd="0" x="2"/>
        <item sd="0" x="3"/>
        <item sd="0" x="4"/>
        <item sd="0" x="5"/>
        <item sd="0" x="6"/>
        <item sd="0" x="7"/>
        <item sd="0" x="8"/>
        <item sd="0" x="9"/>
        <item sd="0" x="10"/>
        <item sd="0" x="11"/>
        <item h="1" sd="0" x="12"/>
        <item h="1"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Fields count="1">
    <field x="12"/>
  </rowFields>
  <rowItems count="5">
    <i>
      <x/>
    </i>
    <i>
      <x v="1"/>
    </i>
    <i>
      <x v="2"/>
    </i>
    <i>
      <x v="3"/>
    </i>
    <i t="grand">
      <x/>
    </i>
  </rowItems>
  <colItems count="1">
    <i/>
  </colItems>
  <dataFields count="1">
    <dataField name="Count of Order_ID" fld="0" subtotal="count" baseField="0" baseItem="0"/>
  </dataFields>
  <chartFormats count="1">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0DF96A2-CA65-4E5B-A79A-819CC12BE73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B3:E4" firstHeaderRow="0" firstDataRow="1" firstDataCol="0"/>
  <pivotFields count="18">
    <pivotField dataField="1" showAll="0"/>
    <pivotField showAll="0"/>
    <pivotField showAll="0"/>
    <pivotField showAll="0"/>
    <pivotField showAll="0"/>
    <pivotField showAll="0">
      <items count="332">
        <item x="5"/>
        <item x="95"/>
        <item x="56"/>
        <item x="241"/>
        <item x="327"/>
        <item x="119"/>
        <item x="198"/>
        <item x="301"/>
        <item x="314"/>
        <item x="31"/>
        <item x="73"/>
        <item x="254"/>
        <item x="117"/>
        <item x="320"/>
        <item x="106"/>
        <item x="101"/>
        <item x="234"/>
        <item x="67"/>
        <item x="127"/>
        <item x="129"/>
        <item x="81"/>
        <item x="9"/>
        <item x="197"/>
        <item x="271"/>
        <item x="180"/>
        <item x="133"/>
        <item x="286"/>
        <item x="45"/>
        <item x="179"/>
        <item x="170"/>
        <item x="169"/>
        <item x="154"/>
        <item x="257"/>
        <item x="278"/>
        <item x="274"/>
        <item x="107"/>
        <item x="57"/>
        <item x="326"/>
        <item x="19"/>
        <item x="96"/>
        <item x="261"/>
        <item x="321"/>
        <item x="275"/>
        <item x="230"/>
        <item x="27"/>
        <item x="207"/>
        <item x="91"/>
        <item x="100"/>
        <item x="251"/>
        <item x="219"/>
        <item x="187"/>
        <item x="77"/>
        <item x="114"/>
        <item x="315"/>
        <item x="78"/>
        <item x="259"/>
        <item x="317"/>
        <item x="182"/>
        <item x="64"/>
        <item x="240"/>
        <item x="82"/>
        <item x="47"/>
        <item x="90"/>
        <item x="0"/>
        <item x="136"/>
        <item x="6"/>
        <item x="175"/>
        <item x="125"/>
        <item x="62"/>
        <item x="292"/>
        <item x="89"/>
        <item x="237"/>
        <item x="22"/>
        <item x="150"/>
        <item x="17"/>
        <item x="250"/>
        <item x="134"/>
        <item x="109"/>
        <item x="258"/>
        <item x="223"/>
        <item x="295"/>
        <item x="277"/>
        <item x="313"/>
        <item x="226"/>
        <item x="324"/>
        <item x="135"/>
        <item x="245"/>
        <item x="194"/>
        <item x="184"/>
        <item x="302"/>
        <item x="238"/>
        <item x="165"/>
        <item x="13"/>
        <item x="61"/>
        <item x="311"/>
        <item x="176"/>
        <item x="285"/>
        <item x="322"/>
        <item x="204"/>
        <item x="252"/>
        <item x="233"/>
        <item x="104"/>
        <item x="139"/>
        <item x="231"/>
        <item x="298"/>
        <item x="209"/>
        <item x="248"/>
        <item x="157"/>
        <item x="280"/>
        <item x="228"/>
        <item x="98"/>
        <item x="188"/>
        <item x="246"/>
        <item x="54"/>
        <item x="115"/>
        <item x="36"/>
        <item x="162"/>
        <item x="323"/>
        <item x="211"/>
        <item x="7"/>
        <item x="166"/>
        <item x="249"/>
        <item x="53"/>
        <item x="65"/>
        <item x="66"/>
        <item x="164"/>
        <item x="3"/>
        <item x="10"/>
        <item x="51"/>
        <item x="308"/>
        <item x="193"/>
        <item x="103"/>
        <item x="229"/>
        <item x="158"/>
        <item x="210"/>
        <item x="24"/>
        <item x="69"/>
        <item x="58"/>
        <item x="276"/>
        <item x="38"/>
        <item x="84"/>
        <item x="76"/>
        <item x="305"/>
        <item x="221"/>
        <item x="181"/>
        <item x="68"/>
        <item x="40"/>
        <item x="4"/>
        <item x="205"/>
        <item x="99"/>
        <item x="168"/>
        <item x="185"/>
        <item x="11"/>
        <item x="112"/>
        <item x="71"/>
        <item x="37"/>
        <item x="85"/>
        <item x="161"/>
        <item x="110"/>
        <item x="120"/>
        <item x="283"/>
        <item x="26"/>
        <item x="269"/>
        <item x="108"/>
        <item x="296"/>
        <item x="265"/>
        <item x="256"/>
        <item x="316"/>
        <item x="307"/>
        <item x="35"/>
        <item x="79"/>
        <item x="200"/>
        <item x="243"/>
        <item x="212"/>
        <item x="74"/>
        <item x="330"/>
        <item x="325"/>
        <item x="50"/>
        <item x="149"/>
        <item x="92"/>
        <item x="284"/>
        <item x="300"/>
        <item x="171"/>
        <item x="72"/>
        <item x="174"/>
        <item x="236"/>
        <item x="148"/>
        <item x="329"/>
        <item x="253"/>
        <item x="138"/>
        <item x="156"/>
        <item x="189"/>
        <item x="105"/>
        <item x="196"/>
        <item x="264"/>
        <item x="222"/>
        <item x="59"/>
        <item x="191"/>
        <item x="32"/>
        <item x="41"/>
        <item x="213"/>
        <item x="273"/>
        <item x="97"/>
        <item x="214"/>
        <item x="239"/>
        <item x="272"/>
        <item x="306"/>
        <item x="227"/>
        <item x="267"/>
        <item x="83"/>
        <item x="186"/>
        <item x="49"/>
        <item x="192"/>
        <item x="217"/>
        <item x="33"/>
        <item x="143"/>
        <item x="287"/>
        <item x="23"/>
        <item x="232"/>
        <item x="303"/>
        <item x="28"/>
        <item x="52"/>
        <item x="70"/>
        <item x="216"/>
        <item x="328"/>
        <item x="155"/>
        <item x="294"/>
        <item x="201"/>
        <item x="173"/>
        <item x="291"/>
        <item x="118"/>
        <item x="151"/>
        <item x="242"/>
        <item x="131"/>
        <item x="263"/>
        <item x="247"/>
        <item x="1"/>
        <item x="87"/>
        <item x="203"/>
        <item x="262"/>
        <item x="309"/>
        <item x="190"/>
        <item x="215"/>
        <item x="282"/>
        <item x="160"/>
        <item x="113"/>
        <item x="319"/>
        <item x="142"/>
        <item x="178"/>
        <item x="86"/>
        <item x="318"/>
        <item x="290"/>
        <item x="15"/>
        <item x="220"/>
        <item x="128"/>
        <item x="140"/>
        <item x="102"/>
        <item x="124"/>
        <item x="16"/>
        <item x="21"/>
        <item x="153"/>
        <item x="299"/>
        <item x="34"/>
        <item x="159"/>
        <item x="42"/>
        <item x="12"/>
        <item x="48"/>
        <item x="260"/>
        <item x="279"/>
        <item x="25"/>
        <item x="132"/>
        <item x="30"/>
        <item x="281"/>
        <item x="195"/>
        <item x="75"/>
        <item x="167"/>
        <item x="55"/>
        <item x="310"/>
        <item x="312"/>
        <item x="206"/>
        <item x="288"/>
        <item x="60"/>
        <item x="208"/>
        <item x="145"/>
        <item x="121"/>
        <item x="122"/>
        <item x="39"/>
        <item x="268"/>
        <item x="29"/>
        <item x="293"/>
        <item x="2"/>
        <item x="152"/>
        <item x="255"/>
        <item x="8"/>
        <item x="44"/>
        <item x="202"/>
        <item x="199"/>
        <item x="94"/>
        <item x="146"/>
        <item x="147"/>
        <item x="218"/>
        <item x="130"/>
        <item x="63"/>
        <item x="225"/>
        <item x="88"/>
        <item x="93"/>
        <item x="266"/>
        <item x="144"/>
        <item x="244"/>
        <item x="137"/>
        <item x="235"/>
        <item x="18"/>
        <item x="123"/>
        <item x="111"/>
        <item x="141"/>
        <item x="20"/>
        <item x="270"/>
        <item x="304"/>
        <item x="163"/>
        <item x="224"/>
        <item x="289"/>
        <item x="14"/>
        <item x="172"/>
        <item x="46"/>
        <item x="177"/>
        <item x="80"/>
        <item x="126"/>
        <item x="43"/>
        <item x="116"/>
        <item x="183"/>
        <item x="297"/>
        <item t="default"/>
      </items>
    </pivotField>
    <pivotField showAll="0"/>
    <pivotField showAll="0"/>
    <pivotField dataField="1" showAll="0"/>
    <pivotField showAll="0"/>
    <pivotField dataField="1" showAll="0"/>
    <pivotField showAll="0">
      <items count="5">
        <item x="0"/>
        <item h="1" m="1" x="3"/>
        <item h="1" x="1"/>
        <item h="1" x="2"/>
        <item t="default"/>
      </items>
    </pivotField>
    <pivotField showAll="0"/>
    <pivotField showAll="0"/>
    <pivotField dataField="1" showAll="0"/>
    <pivotField showAll="0">
      <items count="15">
        <item h="1" sd="0" x="0"/>
        <item h="1" sd="0" x="1"/>
        <item h="1" sd="0" x="2"/>
        <item sd="0" x="3"/>
        <item sd="0" x="4"/>
        <item sd="0" x="5"/>
        <item sd="0" x="6"/>
        <item sd="0" x="7"/>
        <item sd="0" x="8"/>
        <item sd="0" x="9"/>
        <item sd="0" x="10"/>
        <item sd="0" x="11"/>
        <item h="1" sd="0" x="12"/>
        <item h="1"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Items count="1">
    <i/>
  </rowItems>
  <colFields count="1">
    <field x="-2"/>
  </colFields>
  <colItems count="4">
    <i>
      <x/>
    </i>
    <i i="1">
      <x v="1"/>
    </i>
    <i i="2">
      <x v="2"/>
    </i>
    <i i="3">
      <x v="3"/>
    </i>
  </colItems>
  <dataFields count="4">
    <dataField name="Count of Order_ID" fld="0" subtotal="count" baseField="0" baseItem="0"/>
    <dataField name="Sum of Quantity" fld="8" baseField="0" baseItem="0"/>
    <dataField name="Sum of Total_Cost" fld="10" baseField="0" baseItem="0"/>
    <dataField name="Average of Delay_Days" fld="14" subtotal="average"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558A8C4-6C3C-4E73-8A1C-180C92F9F35E}"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fieldListSortAscending="1">
  <location ref="B64:D66" firstHeaderRow="0" firstDataRow="1" firstDataCol="1"/>
  <pivotFields count="18">
    <pivotField dataField="1" showAll="0"/>
    <pivotField showAll="0"/>
    <pivotField showAll="0"/>
    <pivotField showAll="0"/>
    <pivotField showAll="0"/>
    <pivotField showAll="0">
      <items count="332">
        <item x="5"/>
        <item x="95"/>
        <item x="56"/>
        <item x="241"/>
        <item x="327"/>
        <item x="119"/>
        <item x="198"/>
        <item x="301"/>
        <item x="314"/>
        <item x="31"/>
        <item x="73"/>
        <item x="254"/>
        <item x="117"/>
        <item x="320"/>
        <item x="106"/>
        <item x="101"/>
        <item x="234"/>
        <item x="67"/>
        <item x="127"/>
        <item x="129"/>
        <item x="81"/>
        <item x="9"/>
        <item x="197"/>
        <item x="271"/>
        <item x="180"/>
        <item x="133"/>
        <item x="286"/>
        <item x="45"/>
        <item x="179"/>
        <item x="170"/>
        <item x="169"/>
        <item x="154"/>
        <item x="257"/>
        <item x="278"/>
        <item x="274"/>
        <item x="107"/>
        <item x="57"/>
        <item x="326"/>
        <item x="19"/>
        <item x="96"/>
        <item x="261"/>
        <item x="321"/>
        <item x="275"/>
        <item x="230"/>
        <item x="27"/>
        <item x="207"/>
        <item x="91"/>
        <item x="100"/>
        <item x="251"/>
        <item x="219"/>
        <item x="187"/>
        <item x="77"/>
        <item x="114"/>
        <item x="315"/>
        <item x="78"/>
        <item x="259"/>
        <item x="317"/>
        <item x="182"/>
        <item x="64"/>
        <item x="240"/>
        <item x="82"/>
        <item x="47"/>
        <item x="90"/>
        <item x="0"/>
        <item x="136"/>
        <item x="6"/>
        <item x="175"/>
        <item x="125"/>
        <item x="62"/>
        <item x="292"/>
        <item x="89"/>
        <item x="237"/>
        <item x="22"/>
        <item x="150"/>
        <item x="17"/>
        <item x="250"/>
        <item x="134"/>
        <item x="109"/>
        <item x="258"/>
        <item x="223"/>
        <item x="295"/>
        <item x="277"/>
        <item x="313"/>
        <item x="226"/>
        <item x="324"/>
        <item x="135"/>
        <item x="245"/>
        <item x="194"/>
        <item x="184"/>
        <item x="302"/>
        <item x="238"/>
        <item x="165"/>
        <item x="13"/>
        <item x="61"/>
        <item x="311"/>
        <item x="176"/>
        <item x="285"/>
        <item x="322"/>
        <item x="204"/>
        <item x="252"/>
        <item x="233"/>
        <item x="104"/>
        <item x="139"/>
        <item x="231"/>
        <item x="298"/>
        <item x="209"/>
        <item x="248"/>
        <item x="157"/>
        <item x="280"/>
        <item x="228"/>
        <item x="98"/>
        <item x="188"/>
        <item x="246"/>
        <item x="54"/>
        <item x="115"/>
        <item x="36"/>
        <item x="162"/>
        <item x="323"/>
        <item x="211"/>
        <item x="7"/>
        <item x="166"/>
        <item x="249"/>
        <item x="53"/>
        <item x="65"/>
        <item x="66"/>
        <item x="164"/>
        <item x="3"/>
        <item x="10"/>
        <item x="51"/>
        <item x="308"/>
        <item x="193"/>
        <item x="103"/>
        <item x="229"/>
        <item x="158"/>
        <item x="210"/>
        <item x="24"/>
        <item x="69"/>
        <item x="58"/>
        <item x="276"/>
        <item x="38"/>
        <item x="84"/>
        <item x="76"/>
        <item x="305"/>
        <item x="221"/>
        <item x="181"/>
        <item x="68"/>
        <item x="40"/>
        <item x="4"/>
        <item x="205"/>
        <item x="99"/>
        <item x="168"/>
        <item x="185"/>
        <item x="11"/>
        <item x="112"/>
        <item x="71"/>
        <item x="37"/>
        <item x="85"/>
        <item x="161"/>
        <item x="110"/>
        <item x="120"/>
        <item x="283"/>
        <item x="26"/>
        <item x="269"/>
        <item x="108"/>
        <item x="296"/>
        <item x="265"/>
        <item x="256"/>
        <item x="316"/>
        <item x="307"/>
        <item x="35"/>
        <item x="79"/>
        <item x="200"/>
        <item x="243"/>
        <item x="212"/>
        <item x="74"/>
        <item x="330"/>
        <item x="325"/>
        <item x="50"/>
        <item x="149"/>
        <item x="92"/>
        <item x="284"/>
        <item x="300"/>
        <item x="171"/>
        <item x="72"/>
        <item x="174"/>
        <item x="236"/>
        <item x="148"/>
        <item x="329"/>
        <item x="253"/>
        <item x="138"/>
        <item x="156"/>
        <item x="189"/>
        <item x="105"/>
        <item x="196"/>
        <item x="264"/>
        <item x="222"/>
        <item x="59"/>
        <item x="191"/>
        <item x="32"/>
        <item x="41"/>
        <item x="213"/>
        <item x="273"/>
        <item x="97"/>
        <item x="214"/>
        <item x="239"/>
        <item x="272"/>
        <item x="306"/>
        <item x="227"/>
        <item x="267"/>
        <item x="83"/>
        <item x="186"/>
        <item x="49"/>
        <item x="192"/>
        <item x="217"/>
        <item x="33"/>
        <item x="143"/>
        <item x="287"/>
        <item x="23"/>
        <item x="232"/>
        <item x="303"/>
        <item x="28"/>
        <item x="52"/>
        <item x="70"/>
        <item x="216"/>
        <item x="328"/>
        <item x="155"/>
        <item x="294"/>
        <item x="201"/>
        <item x="173"/>
        <item x="291"/>
        <item x="118"/>
        <item x="151"/>
        <item x="242"/>
        <item x="131"/>
        <item x="263"/>
        <item x="247"/>
        <item x="1"/>
        <item x="87"/>
        <item x="203"/>
        <item x="262"/>
        <item x="309"/>
        <item x="190"/>
        <item x="215"/>
        <item x="282"/>
        <item x="160"/>
        <item x="113"/>
        <item x="319"/>
        <item x="142"/>
        <item x="178"/>
        <item x="86"/>
        <item x="318"/>
        <item x="290"/>
        <item x="15"/>
        <item x="220"/>
        <item x="128"/>
        <item x="140"/>
        <item x="102"/>
        <item x="124"/>
        <item x="16"/>
        <item x="21"/>
        <item x="153"/>
        <item x="299"/>
        <item x="34"/>
        <item x="159"/>
        <item x="42"/>
        <item x="12"/>
        <item x="48"/>
        <item x="260"/>
        <item x="279"/>
        <item x="25"/>
        <item x="132"/>
        <item x="30"/>
        <item x="281"/>
        <item x="195"/>
        <item x="75"/>
        <item x="167"/>
        <item x="55"/>
        <item x="310"/>
        <item x="312"/>
        <item x="206"/>
        <item x="288"/>
        <item x="60"/>
        <item x="208"/>
        <item x="145"/>
        <item x="121"/>
        <item x="122"/>
        <item x="39"/>
        <item x="268"/>
        <item x="29"/>
        <item x="293"/>
        <item x="2"/>
        <item x="152"/>
        <item x="255"/>
        <item x="8"/>
        <item x="44"/>
        <item x="202"/>
        <item x="199"/>
        <item x="94"/>
        <item x="146"/>
        <item x="147"/>
        <item x="218"/>
        <item x="130"/>
        <item x="63"/>
        <item x="225"/>
        <item x="88"/>
        <item x="93"/>
        <item x="266"/>
        <item x="144"/>
        <item x="244"/>
        <item x="137"/>
        <item x="235"/>
        <item x="18"/>
        <item x="123"/>
        <item x="111"/>
        <item x="141"/>
        <item x="20"/>
        <item x="270"/>
        <item x="304"/>
        <item x="163"/>
        <item x="224"/>
        <item x="289"/>
        <item x="14"/>
        <item x="172"/>
        <item x="46"/>
        <item x="177"/>
        <item x="80"/>
        <item x="126"/>
        <item x="43"/>
        <item x="116"/>
        <item x="183"/>
        <item x="297"/>
        <item t="default"/>
      </items>
    </pivotField>
    <pivotField showAll="0"/>
    <pivotField showAll="0"/>
    <pivotField dataField="1" showAll="0"/>
    <pivotField showAll="0"/>
    <pivotField showAll="0"/>
    <pivotField showAll="0">
      <items count="5">
        <item x="0"/>
        <item h="1" m="1" x="3"/>
        <item h="1" x="1"/>
        <item h="1" x="2"/>
        <item t="default"/>
      </items>
    </pivotField>
    <pivotField showAll="0"/>
    <pivotField showAll="0"/>
    <pivotField showAll="0"/>
    <pivotField showAll="0">
      <items count="15">
        <item h="1" sd="0" x="0"/>
        <item h="1" sd="0" x="1"/>
        <item h="1" sd="0" x="2"/>
        <item sd="0" x="3"/>
        <item sd="0" x="4"/>
        <item sd="0" x="5"/>
        <item sd="0" x="6"/>
        <item sd="0" x="7"/>
        <item sd="0" x="8"/>
        <item sd="0" x="9"/>
        <item sd="0" x="10"/>
        <item sd="0" x="11"/>
        <item h="1" sd="0" x="12"/>
        <item h="1" sd="0" x="13"/>
        <item t="default"/>
      </items>
    </pivotField>
    <pivotField showAll="0">
      <items count="7">
        <item sd="0" x="0"/>
        <item sd="0" x="1"/>
        <item sd="0" x="2"/>
        <item sd="0" x="3"/>
        <item sd="0" x="4"/>
        <item sd="0" x="5"/>
        <item t="default"/>
      </items>
    </pivotField>
    <pivotField axis="axisRow" showAll="0">
      <items count="6">
        <item h="1" sd="0" x="0"/>
        <item h="1" sd="0" x="1"/>
        <item sd="0" x="2"/>
        <item h="1" sd="0" x="3"/>
        <item h="1" sd="0" x="4"/>
        <item t="default"/>
      </items>
    </pivotField>
  </pivotFields>
  <rowFields count="1">
    <field x="17"/>
  </rowFields>
  <rowItems count="2">
    <i>
      <x v="2"/>
    </i>
    <i t="grand">
      <x/>
    </i>
  </rowItems>
  <colFields count="1">
    <field x="-2"/>
  </colFields>
  <colItems count="2">
    <i>
      <x/>
    </i>
    <i i="1">
      <x v="1"/>
    </i>
  </colItems>
  <dataFields count="2">
    <dataField name="Count of Order_ID" fld="0" subtotal="count" baseField="0" baseItem="0"/>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22D7172-70E3-4349-B407-9083C7142A97}" autoFormatId="16" applyNumberFormats="0" applyBorderFormats="0" applyFontFormats="0" applyPatternFormats="0" applyAlignmentFormats="0" applyWidthHeightFormats="0">
  <queryTableRefresh nextId="16">
    <queryTableFields count="15">
      <queryTableField id="1" name="Order_ID" tableColumnId="1"/>
      <queryTableField id="2" name="Product" tableColumnId="2"/>
      <queryTableField id="3" name="Category" tableColumnId="3"/>
      <queryTableField id="4" name="Supplier" tableColumnId="4"/>
      <queryTableField id="5" name="Country" tableColumnId="5"/>
      <queryTableField id="6" name="Order_Date" tableColumnId="6"/>
      <queryTableField id="7" name="Ship_Date" tableColumnId="7"/>
      <queryTableField id="8" name="Delivery_Date" tableColumnId="8"/>
      <queryTableField id="9" name="Quantity" tableColumnId="9"/>
      <queryTableField id="10" name="Unit_Price" tableColumnId="10"/>
      <queryTableField id="11" name="Total_Cost" tableColumnId="11"/>
      <queryTableField id="12" name="Warehouse" tableColumnId="12"/>
      <queryTableField id="13" name="Transport_Mode" tableColumnId="13"/>
      <queryTableField id="14" name="Status" tableColumnId="14"/>
      <queryTableField id="15" name="Delay_Day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D902CDD6-16BE-40E0-9AC7-9B930FBCF12E}" sourceName="Years (Order_Date)">
  <pivotTables>
    <pivotTable tabId="1" name="PivotTable14"/>
    <pivotTable tabId="1" name="PivotTable10"/>
    <pivotTable tabId="1" name="PivotTable11"/>
    <pivotTable tabId="1" name="PivotTable12"/>
    <pivotTable tabId="1" name="PivotTable13"/>
    <pivotTable tabId="1" name="PivotTable2"/>
    <pivotTable tabId="1" name="PivotTable4"/>
    <pivotTable tabId="1" name="PivotTable6"/>
    <pivotTable tabId="1" name="PivotTable8"/>
    <pivotTable tabId="1" name="PivotTable9"/>
    <pivotTable tabId="1" name="PivotTable5"/>
  </pivotTables>
  <data>
    <tabular pivotCacheId="1531009183">
      <items count="5">
        <i x="1"/>
        <i x="2" s="1"/>
        <i x="0" nd="1"/>
        <i x="4" nd="1"/>
        <i x="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572FE7C3-B854-4591-87F4-16D8CACD39C9}" sourceName="Months (Order_Date)">
  <pivotTables>
    <pivotTable tabId="1" name="PivotTable4"/>
    <pivotTable tabId="1" name="PivotTable10"/>
    <pivotTable tabId="1" name="PivotTable11"/>
    <pivotTable tabId="1" name="PivotTable12"/>
    <pivotTable tabId="1" name="PivotTable13"/>
    <pivotTable tabId="1" name="PivotTable14"/>
    <pivotTable tabId="1" name="PivotTable15"/>
    <pivotTable tabId="1" name="PivotTable16"/>
    <pivotTable tabId="1" name="PivotTable2"/>
    <pivotTable tabId="1" name="PivotTable6"/>
    <pivotTable tabId="1" name="PivotTable8"/>
    <pivotTable tabId="1" name="PivotTable9"/>
  </pivotTables>
  <data>
    <tabular pivotCacheId="1531009183">
      <items count="14">
        <i x="1"/>
        <i x="2"/>
        <i x="3" s="1"/>
        <i x="4" s="1"/>
        <i x="5" s="1"/>
        <i x="6" s="1"/>
        <i x="7" s="1"/>
        <i x="8" s="1"/>
        <i x="9" s="1"/>
        <i x="10" s="1"/>
        <i x="11" s="1"/>
        <i x="12"/>
        <i x="0" nd="1"/>
        <i x="1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74946EBC-DA53-4FC5-96B4-6ABAF23E7124}" sourceName="Warehouse">
  <pivotTables>
    <pivotTable tabId="1" name="PivotTable10"/>
    <pivotTable tabId="1" name="PivotTable12"/>
    <pivotTable tabId="1" name="PivotTable13"/>
    <pivotTable tabId="1" name="PivotTable14"/>
    <pivotTable tabId="1" name="PivotTable15"/>
    <pivotTable tabId="1" name="PivotTable16"/>
    <pivotTable tabId="1" name="PivotTable17"/>
    <pivotTable tabId="1" name="PivotTable2"/>
    <pivotTable tabId="1" name="PivotTable4"/>
    <pivotTable tabId="1" name="PivotTable5"/>
    <pivotTable tabId="1" name="PivotTable6"/>
    <pivotTable tabId="1" name="PivotTable8"/>
    <pivotTable tabId="1" name="PivotTable9"/>
    <pivotTable tabId="1" name="PivotTable20"/>
  </pivotTables>
  <data>
    <tabular pivotCacheId="1531009183">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xr10:uid="{EC0FCFC6-C659-4229-8DEB-311C169E5A8A}" cache="Slicer_Years__Order_Date" caption="Years (Order_Date)" columnCount="2" showCaption="0" style="SlicerStyleLight1 2" rowHeight="234950"/>
  <slicer name="Years (Order_Date) 2" xr10:uid="{1F1237BA-C5C2-4381-A8E7-FE3767BBA224}" cache="Slicer_Years__Order_Date" caption="Years (Order_Date)" columnCount="2" showCaption="0" style="SlicerStyleLight1 2 5" rowHeight="234950"/>
  <slicer name="Months (Order_Date)" xr10:uid="{9AD5B89F-A2B6-4880-9F8D-9AC24D672FDD}" cache="Slicer_Months__Order_Date" caption="Months (Order_Date)" columnCount="12" showCaption="0" style="SlicerStyleLight1 2 2" rowHeight="182880"/>
  <slicer name="Warehouse" xr10:uid="{2704AEDC-0426-40AA-8D27-06D5BD9952BC}" cache="Slicer_Warehouse" caption="Warehouse" columnCount="3" showCaption="0" style="SlicerStyleLight1 2 4 2 2"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3" xr10:uid="{35DD55C8-D9B0-4FA0-8389-0563768788CB}" cache="Slicer_Years__Order_Date" caption="Years (Order_Date)" columnCount="2" showCaption="0" style="SlicerStyleLight1 2" rowHeight="234950"/>
  <slicer name="Years (Order_Date) 4" xr10:uid="{79BF9A82-BBCD-4F42-8F56-82260A8C8874}" cache="Slicer_Years__Order_Date" caption="Years (Order_Date)" columnCount="2" showCaption="0" style="SlicerStyleLight1 2 5" rowHeight="234950"/>
  <slicer name="Months (Order_Date) 1" xr10:uid="{D1A143C3-8260-4616-8E17-46F51EB027F0}" cache="Slicer_Months__Order_Date" caption="Months (Order_Date)" columnCount="12" showCaption="0" style="SlicerStyleLight1 2 4 3 2" rowHeight="18288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5" xr10:uid="{BA405EE5-A9DD-4564-B845-5840D9DE3A3C}" cache="Slicer_Years__Order_Date" caption="Years (Order_Date)" columnCount="2" showCaption="0" style="SlicerStyleLight1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34477E-DA26-46C2-9DA3-AE06C838BE21}" name="dirty_supply_chain_dataset__2" displayName="dirty_supply_chain_dataset__2" ref="B5:P476" tableType="queryTable" totalsRowShown="0" headerRowDxfId="19" dataDxfId="17" headerRowBorderDxfId="18" tableBorderDxfId="16" totalsRowBorderDxfId="15">
  <tableColumns count="15">
    <tableColumn id="1" xr3:uid="{3D850213-A4BA-4716-BFC6-142B1DA68626}" uniqueName="1" name="Order_ID" queryTableFieldId="1" dataDxfId="14"/>
    <tableColumn id="2" xr3:uid="{0CC401A0-310A-40C4-BD70-9AAD333DC74F}" uniqueName="2" name="Product" queryTableFieldId="2" dataDxfId="13"/>
    <tableColumn id="3" xr3:uid="{40A4A18E-06FD-40D6-B1F8-643C60CD6065}" uniqueName="3" name="Category" queryTableFieldId="3" dataDxfId="12"/>
    <tableColumn id="4" xr3:uid="{C9EFE28B-D499-4D28-882B-FF51B3926564}" uniqueName="4" name="Supplier" queryTableFieldId="4" dataDxfId="11"/>
    <tableColumn id="5" xr3:uid="{B6ABACA8-626D-4C8D-A462-11470AC5F620}" uniqueName="5" name="Country" queryTableFieldId="5" dataDxfId="10"/>
    <tableColumn id="6" xr3:uid="{7F59C826-3195-40C3-ADC2-FB15681A6902}" uniqueName="6" name="Order_Date" queryTableFieldId="6" dataDxfId="9"/>
    <tableColumn id="7" xr3:uid="{3B96506A-A273-46F4-8891-B67D45135615}" uniqueName="7" name="Ship_Date" queryTableFieldId="7" dataDxfId="8"/>
    <tableColumn id="8" xr3:uid="{851CA4C7-6888-4F33-8A9B-77F1848425EC}" uniqueName="8" name="Delivery_Date" queryTableFieldId="8" dataDxfId="7"/>
    <tableColumn id="9" xr3:uid="{D2C81AC4-BA31-4AE7-A9CF-7407F000AC74}" uniqueName="9" name="Quantity" queryTableFieldId="9" dataDxfId="6"/>
    <tableColumn id="10" xr3:uid="{C54A84FB-7218-489D-9AE9-9B07D3E64FC5}" uniqueName="10" name="Unit_Price" queryTableFieldId="10" dataDxfId="5"/>
    <tableColumn id="11" xr3:uid="{5AA6DE6D-972D-401C-86EC-EF776A0141DA}" uniqueName="11" name="Total_Cost" queryTableFieldId="11" dataDxfId="4"/>
    <tableColumn id="12" xr3:uid="{6714336B-38CA-4843-80B1-2B1F37E85DCB}" uniqueName="12" name="Warehouse" queryTableFieldId="12" dataDxfId="3"/>
    <tableColumn id="13" xr3:uid="{3C0674F8-64E1-41FB-80E2-CF4ABD47B1D4}" uniqueName="13" name="Transport_Mode" queryTableFieldId="13" dataDxfId="2"/>
    <tableColumn id="14" xr3:uid="{B7CB8609-90E1-429D-B549-86FB813532AA}" uniqueName="14" name="Status" queryTableFieldId="14" dataDxfId="1"/>
    <tableColumn id="15" xr3:uid="{7212F8E8-C01E-4572-A186-FA415FC8E745}" uniqueName="15" name="Delay_Days"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FB294-8C4B-4E33-8B13-03D8033F1E49}">
  <dimension ref="B2:K93"/>
  <sheetViews>
    <sheetView showGridLines="0" showRowColHeaders="0" workbookViewId="0"/>
  </sheetViews>
  <sheetFormatPr defaultRowHeight="14.4" x14ac:dyDescent="0.3"/>
  <cols>
    <col min="1" max="1" width="4.21875" customWidth="1"/>
    <col min="2" max="2" width="12.5546875" bestFit="1" customWidth="1"/>
    <col min="3" max="3" width="16.44140625" bestFit="1" customWidth="1"/>
    <col min="4" max="4" width="14.88671875" bestFit="1" customWidth="1"/>
    <col min="5" max="5" width="20.44140625" bestFit="1" customWidth="1"/>
    <col min="6" max="6" width="12.5546875" bestFit="1" customWidth="1"/>
    <col min="7" max="7" width="16.44140625" bestFit="1" customWidth="1"/>
    <col min="8" max="8" width="14.88671875" bestFit="1" customWidth="1"/>
    <col min="9" max="9" width="10.77734375" bestFit="1" customWidth="1"/>
    <col min="10" max="10" width="6" bestFit="1" customWidth="1"/>
    <col min="11" max="11" width="10.77734375" bestFit="1" customWidth="1"/>
  </cols>
  <sheetData>
    <row r="2" spans="2:9" ht="15.6" x14ac:dyDescent="0.3">
      <c r="B2" s="22" t="s">
        <v>538</v>
      </c>
    </row>
    <row r="3" spans="2:9" x14ac:dyDescent="0.3">
      <c r="B3" t="s">
        <v>458</v>
      </c>
      <c r="C3" t="s">
        <v>459</v>
      </c>
      <c r="D3" t="s">
        <v>489</v>
      </c>
      <c r="E3" t="s">
        <v>497</v>
      </c>
    </row>
    <row r="4" spans="2:9" x14ac:dyDescent="0.3">
      <c r="B4" s="3">
        <v>103</v>
      </c>
      <c r="C4" s="3">
        <v>9283</v>
      </c>
      <c r="D4" s="3">
        <v>542537.51000000024</v>
      </c>
      <c r="E4" s="3">
        <v>14.106796116504855</v>
      </c>
    </row>
    <row r="10" spans="2:9" ht="15.6" x14ac:dyDescent="0.3">
      <c r="B10" s="22" t="s">
        <v>528</v>
      </c>
    </row>
    <row r="11" spans="2:9" x14ac:dyDescent="0.3">
      <c r="B11" s="1" t="s">
        <v>458</v>
      </c>
      <c r="C11" s="1" t="s">
        <v>505</v>
      </c>
      <c r="G11" s="1" t="s">
        <v>458</v>
      </c>
      <c r="H11" s="1" t="s">
        <v>505</v>
      </c>
    </row>
    <row r="12" spans="2:9" x14ac:dyDescent="0.3">
      <c r="B12" s="1" t="s">
        <v>0</v>
      </c>
      <c r="C12" t="s">
        <v>461</v>
      </c>
      <c r="D12" t="s">
        <v>457</v>
      </c>
      <c r="G12" s="1" t="s">
        <v>0</v>
      </c>
      <c r="H12" t="s">
        <v>461</v>
      </c>
      <c r="I12" t="s">
        <v>457</v>
      </c>
    </row>
    <row r="13" spans="2:9" x14ac:dyDescent="0.3">
      <c r="B13" s="2" t="s">
        <v>464</v>
      </c>
      <c r="C13" s="3">
        <v>12</v>
      </c>
      <c r="D13" s="3">
        <v>12</v>
      </c>
      <c r="G13" s="2" t="s">
        <v>462</v>
      </c>
      <c r="H13" s="3">
        <v>9</v>
      </c>
      <c r="I13" s="3">
        <v>9</v>
      </c>
    </row>
    <row r="14" spans="2:9" x14ac:dyDescent="0.3">
      <c r="B14" s="2" t="s">
        <v>465</v>
      </c>
      <c r="C14" s="3">
        <v>15</v>
      </c>
      <c r="D14" s="3">
        <v>15</v>
      </c>
      <c r="G14" s="2" t="s">
        <v>463</v>
      </c>
      <c r="H14" s="3">
        <v>12</v>
      </c>
      <c r="I14" s="3">
        <v>12</v>
      </c>
    </row>
    <row r="15" spans="2:9" x14ac:dyDescent="0.3">
      <c r="B15" s="2" t="s">
        <v>466</v>
      </c>
      <c r="C15" s="3">
        <v>8</v>
      </c>
      <c r="D15" s="3">
        <v>8</v>
      </c>
      <c r="G15" s="2" t="s">
        <v>464</v>
      </c>
      <c r="H15" s="3">
        <v>12</v>
      </c>
      <c r="I15" s="3">
        <v>12</v>
      </c>
    </row>
    <row r="16" spans="2:9" x14ac:dyDescent="0.3">
      <c r="B16" s="2" t="s">
        <v>467</v>
      </c>
      <c r="C16" s="3">
        <v>7</v>
      </c>
      <c r="D16" s="3">
        <v>7</v>
      </c>
      <c r="G16" s="2" t="s">
        <v>465</v>
      </c>
      <c r="H16" s="3">
        <v>15</v>
      </c>
      <c r="I16" s="3">
        <v>15</v>
      </c>
    </row>
    <row r="17" spans="2:9" x14ac:dyDescent="0.3">
      <c r="B17" s="2" t="s">
        <v>468</v>
      </c>
      <c r="C17" s="3">
        <v>7</v>
      </c>
      <c r="D17" s="3">
        <v>7</v>
      </c>
      <c r="G17" s="2" t="s">
        <v>466</v>
      </c>
      <c r="H17" s="3">
        <v>8</v>
      </c>
      <c r="I17" s="3">
        <v>8</v>
      </c>
    </row>
    <row r="18" spans="2:9" x14ac:dyDescent="0.3">
      <c r="B18" s="2" t="s">
        <v>469</v>
      </c>
      <c r="C18" s="3">
        <v>14</v>
      </c>
      <c r="D18" s="3">
        <v>14</v>
      </c>
      <c r="G18" s="2" t="s">
        <v>467</v>
      </c>
      <c r="H18" s="3">
        <v>7</v>
      </c>
      <c r="I18" s="3">
        <v>7</v>
      </c>
    </row>
    <row r="19" spans="2:9" x14ac:dyDescent="0.3">
      <c r="B19" s="2" t="s">
        <v>470</v>
      </c>
      <c r="C19" s="3">
        <v>15</v>
      </c>
      <c r="D19" s="3">
        <v>15</v>
      </c>
      <c r="G19" s="2" t="s">
        <v>468</v>
      </c>
      <c r="H19" s="3">
        <v>7</v>
      </c>
      <c r="I19" s="3">
        <v>7</v>
      </c>
    </row>
    <row r="20" spans="2:9" x14ac:dyDescent="0.3">
      <c r="B20" s="2" t="s">
        <v>471</v>
      </c>
      <c r="C20" s="3">
        <v>16</v>
      </c>
      <c r="D20" s="3">
        <v>16</v>
      </c>
      <c r="G20" s="2" t="s">
        <v>469</v>
      </c>
      <c r="H20" s="3">
        <v>14</v>
      </c>
      <c r="I20" s="3">
        <v>14</v>
      </c>
    </row>
    <row r="21" spans="2:9" x14ac:dyDescent="0.3">
      <c r="B21" s="2" t="s">
        <v>472</v>
      </c>
      <c r="C21" s="3">
        <v>9</v>
      </c>
      <c r="D21" s="3">
        <v>9</v>
      </c>
      <c r="G21" s="2" t="s">
        <v>470</v>
      </c>
      <c r="H21" s="3">
        <v>15</v>
      </c>
      <c r="I21" s="3">
        <v>15</v>
      </c>
    </row>
    <row r="22" spans="2:9" x14ac:dyDescent="0.3">
      <c r="B22" s="2" t="s">
        <v>457</v>
      </c>
      <c r="C22" s="3">
        <v>103</v>
      </c>
      <c r="D22" s="3">
        <v>103</v>
      </c>
      <c r="G22" s="2" t="s">
        <v>471</v>
      </c>
      <c r="H22" s="3">
        <v>16</v>
      </c>
      <c r="I22" s="3">
        <v>16</v>
      </c>
    </row>
    <row r="23" spans="2:9" x14ac:dyDescent="0.3">
      <c r="G23" s="2" t="s">
        <v>472</v>
      </c>
      <c r="H23" s="3">
        <v>9</v>
      </c>
      <c r="I23" s="3">
        <v>9</v>
      </c>
    </row>
    <row r="24" spans="2:9" x14ac:dyDescent="0.3">
      <c r="G24" s="2" t="s">
        <v>473</v>
      </c>
      <c r="H24" s="3">
        <v>8</v>
      </c>
      <c r="I24" s="3">
        <v>8</v>
      </c>
    </row>
    <row r="25" spans="2:9" x14ac:dyDescent="0.3">
      <c r="G25" s="2" t="s">
        <v>457</v>
      </c>
      <c r="H25" s="3">
        <v>132</v>
      </c>
      <c r="I25" s="3">
        <v>132</v>
      </c>
    </row>
    <row r="27" spans="2:9" ht="15.6" x14ac:dyDescent="0.3">
      <c r="B27" s="22" t="s">
        <v>539</v>
      </c>
    </row>
    <row r="28" spans="2:9" x14ac:dyDescent="0.3">
      <c r="B28" s="1" t="s">
        <v>0</v>
      </c>
      <c r="C28" t="s">
        <v>458</v>
      </c>
      <c r="D28" t="s">
        <v>459</v>
      </c>
    </row>
    <row r="29" spans="2:9" x14ac:dyDescent="0.3">
      <c r="B29" s="2" t="s">
        <v>476</v>
      </c>
      <c r="C29" s="3">
        <v>36</v>
      </c>
      <c r="D29" s="3">
        <v>3456</v>
      </c>
    </row>
    <row r="30" spans="2:9" x14ac:dyDescent="0.3">
      <c r="B30" s="2" t="s">
        <v>475</v>
      </c>
      <c r="C30" s="3">
        <v>49</v>
      </c>
      <c r="D30" s="3">
        <v>4143</v>
      </c>
    </row>
    <row r="31" spans="2:9" x14ac:dyDescent="0.3">
      <c r="B31" s="2" t="s">
        <v>474</v>
      </c>
      <c r="C31" s="3">
        <v>18</v>
      </c>
      <c r="D31" s="3">
        <v>1684</v>
      </c>
    </row>
    <row r="32" spans="2:9" x14ac:dyDescent="0.3">
      <c r="B32" s="2" t="s">
        <v>457</v>
      </c>
      <c r="C32" s="3">
        <v>103</v>
      </c>
      <c r="D32" s="3">
        <v>9283</v>
      </c>
    </row>
    <row r="36" spans="2:7" ht="15.6" x14ac:dyDescent="0.3">
      <c r="B36" s="22" t="s">
        <v>540</v>
      </c>
    </row>
    <row r="37" spans="2:7" x14ac:dyDescent="0.3">
      <c r="B37" s="1" t="s">
        <v>0</v>
      </c>
      <c r="C37" t="s">
        <v>458</v>
      </c>
      <c r="F37" s="1" t="s">
        <v>0</v>
      </c>
      <c r="G37" t="s">
        <v>458</v>
      </c>
    </row>
    <row r="38" spans="2:7" x14ac:dyDescent="0.3">
      <c r="B38" s="2" t="s">
        <v>477</v>
      </c>
      <c r="C38" s="3">
        <v>39</v>
      </c>
      <c r="F38" s="2" t="s">
        <v>477</v>
      </c>
      <c r="G38" s="3">
        <v>39</v>
      </c>
    </row>
    <row r="39" spans="2:7" x14ac:dyDescent="0.3">
      <c r="B39" s="2" t="s">
        <v>478</v>
      </c>
      <c r="C39" s="3">
        <v>21</v>
      </c>
      <c r="F39" s="2" t="s">
        <v>478</v>
      </c>
      <c r="G39" s="3">
        <v>21</v>
      </c>
    </row>
    <row r="40" spans="2:7" x14ac:dyDescent="0.3">
      <c r="B40" s="2" t="s">
        <v>479</v>
      </c>
      <c r="C40" s="3">
        <v>7</v>
      </c>
      <c r="F40" s="2" t="s">
        <v>479</v>
      </c>
      <c r="G40" s="3">
        <v>7</v>
      </c>
    </row>
    <row r="41" spans="2:7" x14ac:dyDescent="0.3">
      <c r="B41" s="2" t="s">
        <v>480</v>
      </c>
      <c r="C41" s="3">
        <v>36</v>
      </c>
      <c r="F41" s="2" t="s">
        <v>480</v>
      </c>
      <c r="G41" s="3">
        <v>36</v>
      </c>
    </row>
    <row r="42" spans="2:7" x14ac:dyDescent="0.3">
      <c r="B42" s="2" t="s">
        <v>457</v>
      </c>
      <c r="C42" s="3">
        <v>103</v>
      </c>
      <c r="F42" s="2" t="s">
        <v>457</v>
      </c>
      <c r="G42" s="3">
        <v>103</v>
      </c>
    </row>
    <row r="46" spans="2:7" ht="15.6" x14ac:dyDescent="0.3">
      <c r="B46" s="22" t="s">
        <v>541</v>
      </c>
    </row>
    <row r="47" spans="2:7" x14ac:dyDescent="0.3">
      <c r="B47" s="1" t="s">
        <v>0</v>
      </c>
      <c r="C47" t="s">
        <v>458</v>
      </c>
      <c r="F47" s="1" t="s">
        <v>0</v>
      </c>
      <c r="G47" t="s">
        <v>458</v>
      </c>
    </row>
    <row r="48" spans="2:7" x14ac:dyDescent="0.3">
      <c r="B48" s="2" t="s">
        <v>481</v>
      </c>
      <c r="C48" s="3">
        <v>103</v>
      </c>
      <c r="F48" s="2" t="s">
        <v>481</v>
      </c>
      <c r="G48" s="3">
        <v>103</v>
      </c>
    </row>
    <row r="49" spans="2:8" x14ac:dyDescent="0.3">
      <c r="B49" s="2" t="s">
        <v>457</v>
      </c>
      <c r="C49" s="3">
        <v>103</v>
      </c>
      <c r="F49" s="2" t="s">
        <v>483</v>
      </c>
      <c r="G49" s="3">
        <v>35</v>
      </c>
    </row>
    <row r="50" spans="2:8" x14ac:dyDescent="0.3">
      <c r="F50" s="2" t="s">
        <v>484</v>
      </c>
      <c r="G50" s="3">
        <v>58</v>
      </c>
    </row>
    <row r="51" spans="2:8" x14ac:dyDescent="0.3">
      <c r="F51" s="2" t="s">
        <v>457</v>
      </c>
      <c r="G51" s="3">
        <v>196</v>
      </c>
    </row>
    <row r="55" spans="2:8" ht="15.6" x14ac:dyDescent="0.3">
      <c r="B55" s="22" t="s">
        <v>542</v>
      </c>
    </row>
    <row r="56" spans="2:8" x14ac:dyDescent="0.3">
      <c r="B56" s="1" t="s">
        <v>0</v>
      </c>
      <c r="C56" t="s">
        <v>489</v>
      </c>
      <c r="F56" s="1" t="s">
        <v>0</v>
      </c>
      <c r="G56" t="s">
        <v>489</v>
      </c>
    </row>
    <row r="57" spans="2:8" x14ac:dyDescent="0.3">
      <c r="B57" s="2" t="s">
        <v>485</v>
      </c>
      <c r="C57" s="3">
        <v>70271.460000000006</v>
      </c>
      <c r="F57" s="2" t="s">
        <v>486</v>
      </c>
      <c r="G57" s="3">
        <v>237438.12</v>
      </c>
    </row>
    <row r="58" spans="2:8" x14ac:dyDescent="0.3">
      <c r="B58" s="2" t="s">
        <v>486</v>
      </c>
      <c r="C58" s="3">
        <v>237438.12</v>
      </c>
      <c r="F58" s="2" t="s">
        <v>487</v>
      </c>
      <c r="G58" s="3">
        <v>162070.26000000004</v>
      </c>
    </row>
    <row r="59" spans="2:8" x14ac:dyDescent="0.3">
      <c r="B59" s="2" t="s">
        <v>487</v>
      </c>
      <c r="C59" s="3">
        <v>162070.26000000004</v>
      </c>
      <c r="F59" s="2" t="s">
        <v>488</v>
      </c>
      <c r="G59" s="3">
        <v>72757.669999999984</v>
      </c>
    </row>
    <row r="60" spans="2:8" x14ac:dyDescent="0.3">
      <c r="B60" s="2" t="s">
        <v>488</v>
      </c>
      <c r="C60" s="3">
        <v>72757.669999999984</v>
      </c>
      <c r="F60" s="2" t="s">
        <v>485</v>
      </c>
      <c r="G60" s="3">
        <v>70271.460000000006</v>
      </c>
    </row>
    <row r="61" spans="2:8" x14ac:dyDescent="0.3">
      <c r="B61" s="2" t="s">
        <v>457</v>
      </c>
      <c r="C61" s="3">
        <v>542537.51</v>
      </c>
      <c r="F61" s="2" t="s">
        <v>457</v>
      </c>
      <c r="G61" s="3">
        <v>542537.51</v>
      </c>
    </row>
    <row r="63" spans="2:8" ht="15.6" x14ac:dyDescent="0.3">
      <c r="B63" s="22" t="s">
        <v>531</v>
      </c>
    </row>
    <row r="64" spans="2:8" x14ac:dyDescent="0.3">
      <c r="B64" s="1" t="s">
        <v>0</v>
      </c>
      <c r="C64" t="s">
        <v>458</v>
      </c>
      <c r="D64" t="s">
        <v>459</v>
      </c>
      <c r="F64" s="1" t="s">
        <v>0</v>
      </c>
      <c r="G64" t="s">
        <v>458</v>
      </c>
      <c r="H64" t="s">
        <v>459</v>
      </c>
    </row>
    <row r="65" spans="2:11" x14ac:dyDescent="0.3">
      <c r="B65" s="2" t="s">
        <v>461</v>
      </c>
      <c r="C65" s="3">
        <v>103</v>
      </c>
      <c r="D65" s="3">
        <v>9283</v>
      </c>
      <c r="F65" s="2" t="s">
        <v>460</v>
      </c>
      <c r="G65" s="3">
        <v>86</v>
      </c>
      <c r="H65" s="3">
        <v>8070</v>
      </c>
    </row>
    <row r="66" spans="2:11" x14ac:dyDescent="0.3">
      <c r="B66" s="2" t="s">
        <v>457</v>
      </c>
      <c r="C66" s="3">
        <v>103</v>
      </c>
      <c r="D66" s="3">
        <v>9283</v>
      </c>
      <c r="F66" s="2" t="s">
        <v>461</v>
      </c>
      <c r="G66" s="3">
        <v>103</v>
      </c>
      <c r="H66" s="3">
        <v>9283</v>
      </c>
    </row>
    <row r="67" spans="2:11" x14ac:dyDescent="0.3">
      <c r="F67" s="2" t="s">
        <v>457</v>
      </c>
      <c r="G67" s="3">
        <v>189</v>
      </c>
      <c r="H67" s="3">
        <v>17353</v>
      </c>
    </row>
    <row r="69" spans="2:11" ht="15.6" x14ac:dyDescent="0.3">
      <c r="B69" s="22" t="s">
        <v>527</v>
      </c>
    </row>
    <row r="70" spans="2:11" x14ac:dyDescent="0.3">
      <c r="B70" s="1" t="s">
        <v>459</v>
      </c>
      <c r="C70" s="1" t="s">
        <v>505</v>
      </c>
      <c r="H70" s="1" t="s">
        <v>459</v>
      </c>
      <c r="I70" s="1" t="s">
        <v>505</v>
      </c>
    </row>
    <row r="71" spans="2:11" x14ac:dyDescent="0.3">
      <c r="B71" s="1" t="s">
        <v>0</v>
      </c>
      <c r="C71" t="s">
        <v>460</v>
      </c>
      <c r="D71" t="s">
        <v>461</v>
      </c>
      <c r="E71" t="s">
        <v>457</v>
      </c>
      <c r="H71" s="1" t="s">
        <v>0</v>
      </c>
      <c r="I71" t="s">
        <v>460</v>
      </c>
      <c r="J71" t="s">
        <v>461</v>
      </c>
      <c r="K71" t="s">
        <v>457</v>
      </c>
    </row>
    <row r="72" spans="2:11" x14ac:dyDescent="0.3">
      <c r="B72" s="2" t="s">
        <v>464</v>
      </c>
      <c r="C72" s="3">
        <v>1243</v>
      </c>
      <c r="D72" s="3">
        <v>1281</v>
      </c>
      <c r="E72" s="3">
        <v>2524</v>
      </c>
      <c r="H72" s="2" t="s">
        <v>462</v>
      </c>
      <c r="I72" s="3">
        <v>531</v>
      </c>
      <c r="J72" s="3">
        <v>952</v>
      </c>
      <c r="K72" s="3">
        <v>1483</v>
      </c>
    </row>
    <row r="73" spans="2:11" x14ac:dyDescent="0.3">
      <c r="B73" s="2" t="s">
        <v>465</v>
      </c>
      <c r="C73" s="3">
        <v>329</v>
      </c>
      <c r="D73" s="3">
        <v>920</v>
      </c>
      <c r="E73" s="3">
        <v>1249</v>
      </c>
      <c r="H73" s="2" t="s">
        <v>463</v>
      </c>
      <c r="I73" s="3">
        <v>544</v>
      </c>
      <c r="J73" s="3">
        <v>1091</v>
      </c>
      <c r="K73" s="3">
        <v>1635</v>
      </c>
    </row>
    <row r="74" spans="2:11" x14ac:dyDescent="0.3">
      <c r="B74" s="2" t="s">
        <v>466</v>
      </c>
      <c r="C74" s="3">
        <v>989</v>
      </c>
      <c r="D74" s="3">
        <v>615</v>
      </c>
      <c r="E74" s="3">
        <v>1604</v>
      </c>
      <c r="H74" s="2" t="s">
        <v>464</v>
      </c>
      <c r="I74" s="3">
        <v>1243</v>
      </c>
      <c r="J74" s="3">
        <v>1281</v>
      </c>
      <c r="K74" s="3">
        <v>2524</v>
      </c>
    </row>
    <row r="75" spans="2:11" x14ac:dyDescent="0.3">
      <c r="B75" s="2" t="s">
        <v>467</v>
      </c>
      <c r="C75" s="3">
        <v>888</v>
      </c>
      <c r="D75" s="3">
        <v>694</v>
      </c>
      <c r="E75" s="3">
        <v>1582</v>
      </c>
      <c r="H75" s="2" t="s">
        <v>465</v>
      </c>
      <c r="I75" s="3">
        <v>329</v>
      </c>
      <c r="J75" s="3">
        <v>920</v>
      </c>
      <c r="K75" s="3">
        <v>1249</v>
      </c>
    </row>
    <row r="76" spans="2:11" x14ac:dyDescent="0.3">
      <c r="B76" s="2" t="s">
        <v>468</v>
      </c>
      <c r="C76" s="3">
        <v>462</v>
      </c>
      <c r="D76" s="3">
        <v>565</v>
      </c>
      <c r="E76" s="3">
        <v>1027</v>
      </c>
      <c r="H76" s="2" t="s">
        <v>466</v>
      </c>
      <c r="I76" s="3">
        <v>989</v>
      </c>
      <c r="J76" s="3">
        <v>615</v>
      </c>
      <c r="K76" s="3">
        <v>1604</v>
      </c>
    </row>
    <row r="77" spans="2:11" x14ac:dyDescent="0.3">
      <c r="B77" s="2" t="s">
        <v>469</v>
      </c>
      <c r="C77" s="3">
        <v>1390</v>
      </c>
      <c r="D77" s="3">
        <v>1288</v>
      </c>
      <c r="E77" s="3">
        <v>2678</v>
      </c>
      <c r="H77" s="2" t="s">
        <v>467</v>
      </c>
      <c r="I77" s="3">
        <v>888</v>
      </c>
      <c r="J77" s="3">
        <v>694</v>
      </c>
      <c r="K77" s="3">
        <v>1582</v>
      </c>
    </row>
    <row r="78" spans="2:11" x14ac:dyDescent="0.3">
      <c r="B78" s="2" t="s">
        <v>470</v>
      </c>
      <c r="C78" s="3">
        <v>517</v>
      </c>
      <c r="D78" s="3">
        <v>1459</v>
      </c>
      <c r="E78" s="3">
        <v>1976</v>
      </c>
      <c r="H78" s="2" t="s">
        <v>468</v>
      </c>
      <c r="I78" s="3">
        <v>462</v>
      </c>
      <c r="J78" s="3">
        <v>565</v>
      </c>
      <c r="K78" s="3">
        <v>1027</v>
      </c>
    </row>
    <row r="79" spans="2:11" x14ac:dyDescent="0.3">
      <c r="B79" s="2" t="s">
        <v>471</v>
      </c>
      <c r="C79" s="3">
        <v>1096</v>
      </c>
      <c r="D79" s="3">
        <v>1618</v>
      </c>
      <c r="E79" s="3">
        <v>2714</v>
      </c>
      <c r="H79" s="2" t="s">
        <v>469</v>
      </c>
      <c r="I79" s="3">
        <v>1390</v>
      </c>
      <c r="J79" s="3">
        <v>1288</v>
      </c>
      <c r="K79" s="3">
        <v>2678</v>
      </c>
    </row>
    <row r="80" spans="2:11" x14ac:dyDescent="0.3">
      <c r="B80" s="2" t="s">
        <v>472</v>
      </c>
      <c r="C80" s="3">
        <v>1156</v>
      </c>
      <c r="D80" s="3">
        <v>843</v>
      </c>
      <c r="E80" s="3">
        <v>1999</v>
      </c>
      <c r="H80" s="2" t="s">
        <v>470</v>
      </c>
      <c r="I80" s="3">
        <v>517</v>
      </c>
      <c r="J80" s="3">
        <v>1459</v>
      </c>
      <c r="K80" s="3">
        <v>1976</v>
      </c>
    </row>
    <row r="81" spans="2:11" x14ac:dyDescent="0.3">
      <c r="B81" s="2" t="s">
        <v>457</v>
      </c>
      <c r="C81" s="3">
        <v>8070</v>
      </c>
      <c r="D81" s="3">
        <v>9283</v>
      </c>
      <c r="E81" s="3">
        <v>17353</v>
      </c>
      <c r="H81" s="2" t="s">
        <v>471</v>
      </c>
      <c r="I81" s="3">
        <v>1096</v>
      </c>
      <c r="J81" s="3">
        <v>1618</v>
      </c>
      <c r="K81" s="3">
        <v>2714</v>
      </c>
    </row>
    <row r="82" spans="2:11" x14ac:dyDescent="0.3">
      <c r="H82" s="2" t="s">
        <v>472</v>
      </c>
      <c r="I82" s="3">
        <v>1156</v>
      </c>
      <c r="J82" s="3">
        <v>843</v>
      </c>
      <c r="K82" s="3">
        <v>1999</v>
      </c>
    </row>
    <row r="83" spans="2:11" x14ac:dyDescent="0.3">
      <c r="H83" s="2" t="s">
        <v>473</v>
      </c>
      <c r="I83" s="3">
        <v>1304</v>
      </c>
      <c r="J83" s="3">
        <v>657</v>
      </c>
      <c r="K83" s="3">
        <v>1961</v>
      </c>
    </row>
    <row r="84" spans="2:11" x14ac:dyDescent="0.3">
      <c r="H84" s="2" t="s">
        <v>457</v>
      </c>
      <c r="I84" s="3">
        <v>10449</v>
      </c>
      <c r="J84" s="3">
        <v>11983</v>
      </c>
      <c r="K84" s="3">
        <v>22432</v>
      </c>
    </row>
    <row r="88" spans="2:11" ht="15.6" x14ac:dyDescent="0.3">
      <c r="B88" s="22" t="s">
        <v>543</v>
      </c>
    </row>
    <row r="89" spans="2:11" x14ac:dyDescent="0.3">
      <c r="B89" s="1" t="s">
        <v>0</v>
      </c>
      <c r="C89" t="s">
        <v>459</v>
      </c>
    </row>
    <row r="90" spans="2:11" x14ac:dyDescent="0.3">
      <c r="B90" s="2" t="s">
        <v>534</v>
      </c>
      <c r="C90" s="3">
        <v>7540</v>
      </c>
    </row>
    <row r="91" spans="2:11" x14ac:dyDescent="0.3">
      <c r="B91" s="2" t="s">
        <v>535</v>
      </c>
      <c r="C91" s="3">
        <v>8166</v>
      </c>
    </row>
    <row r="92" spans="2:11" x14ac:dyDescent="0.3">
      <c r="B92" s="2" t="s">
        <v>536</v>
      </c>
      <c r="C92" s="3">
        <v>6726</v>
      </c>
    </row>
    <row r="93" spans="2:11" x14ac:dyDescent="0.3">
      <c r="B93" s="2" t="s">
        <v>457</v>
      </c>
      <c r="C93" s="3">
        <v>22432</v>
      </c>
    </row>
  </sheetData>
  <pageMargins left="0.7" right="0.7" top="0.75" bottom="0.75" header="0.3" footer="0.3"/>
  <drawing r:id="rId1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1471-164C-40A6-BEAC-89958B0E696E}">
  <dimension ref="A1:AR113"/>
  <sheetViews>
    <sheetView showGridLines="0" showRowColHeaders="0" tabSelected="1" zoomScale="112" zoomScaleNormal="112" workbookViewId="0"/>
  </sheetViews>
  <sheetFormatPr defaultRowHeight="14.4" x14ac:dyDescent="0.3"/>
  <sheetData>
    <row r="1" spans="1:44"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row>
    <row r="2" spans="1:44"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row>
    <row r="3" spans="1:44"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row>
    <row r="4" spans="1:44"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row>
    <row r="5" spans="1:44"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row>
    <row r="6" spans="1:44"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row>
    <row r="7" spans="1:44"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row>
    <row r="8" spans="1:44"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row>
    <row r="9" spans="1:44"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row>
    <row r="10" spans="1:44"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row>
    <row r="11" spans="1:44"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row>
    <row r="12" spans="1:44"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row>
    <row r="13" spans="1:44"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row>
    <row r="14" spans="1:44"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row>
    <row r="15" spans="1:44"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row>
    <row r="16" spans="1:44"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row>
    <row r="17" spans="1:44"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row>
    <row r="18" spans="1:44"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row>
    <row r="19" spans="1:44"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row>
    <row r="20" spans="1:44"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row>
    <row r="21" spans="1:44"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row>
    <row r="22" spans="1:44"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row>
    <row r="23" spans="1:44"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row>
    <row r="24" spans="1:44"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row>
    <row r="25" spans="1:44"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row>
    <row r="26" spans="1:44"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row>
    <row r="27" spans="1:44"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row>
    <row r="28" spans="1:44"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row>
    <row r="29" spans="1:44"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row>
    <row r="30" spans="1:44"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row>
    <row r="31" spans="1:44"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row>
    <row r="32" spans="1:44"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row>
    <row r="33" spans="1:44"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row>
    <row r="34" spans="1:44"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row>
    <row r="35" spans="1:44"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row>
    <row r="36" spans="1:44"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row>
    <row r="37" spans="1:44"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row>
    <row r="38" spans="1:44"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row>
    <row r="39" spans="1:44"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row>
    <row r="40" spans="1:44"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row>
    <row r="41" spans="1:44"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row>
    <row r="42" spans="1:44"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row>
    <row r="43" spans="1:44"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row>
    <row r="44" spans="1:44"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row>
    <row r="45" spans="1:44"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row>
    <row r="46" spans="1:44"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row>
    <row r="47" spans="1:44"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row>
    <row r="48" spans="1:44"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row>
    <row r="49" spans="1:44"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row>
    <row r="50" spans="1:44"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row>
    <row r="51" spans="1:44"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row>
    <row r="52" spans="1:44"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row>
    <row r="53" spans="1:44"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row>
    <row r="54" spans="1:44"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row>
    <row r="55" spans="1:44"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row>
    <row r="56" spans="1:44"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row>
    <row r="57" spans="1:44" x14ac:dyDescent="0.3">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row>
    <row r="58" spans="1:44" x14ac:dyDescent="0.3">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row>
    <row r="59" spans="1:44"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row>
    <row r="60" spans="1:44" x14ac:dyDescent="0.3">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row>
    <row r="61" spans="1:44" x14ac:dyDescent="0.3">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row>
    <row r="62" spans="1:44" x14ac:dyDescent="0.3">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row>
    <row r="63" spans="1:44" x14ac:dyDescent="0.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row>
    <row r="64" spans="1:44" x14ac:dyDescent="0.3">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row>
    <row r="65" spans="1:44" x14ac:dyDescent="0.3">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row>
    <row r="66" spans="1:44" x14ac:dyDescent="0.3">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row>
    <row r="67" spans="1:44" x14ac:dyDescent="0.3">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row>
    <row r="68" spans="1:44" x14ac:dyDescent="0.3">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row>
    <row r="69" spans="1:44" x14ac:dyDescent="0.3">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row>
    <row r="70" spans="1:44" x14ac:dyDescent="0.3">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row>
    <row r="71" spans="1:44" x14ac:dyDescent="0.3">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row>
    <row r="72" spans="1:44" x14ac:dyDescent="0.3">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row>
    <row r="73" spans="1:44" x14ac:dyDescent="0.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row>
    <row r="74" spans="1:44" x14ac:dyDescent="0.3">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row>
    <row r="75" spans="1:44" x14ac:dyDescent="0.3">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row>
    <row r="76" spans="1:44" x14ac:dyDescent="0.3">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row>
    <row r="77" spans="1:44" x14ac:dyDescent="0.3">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row>
    <row r="78" spans="1:44" x14ac:dyDescent="0.3">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row>
    <row r="79" spans="1:44" x14ac:dyDescent="0.3">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row>
    <row r="80" spans="1:44" x14ac:dyDescent="0.3">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row>
    <row r="81" spans="1:44" x14ac:dyDescent="0.3">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row>
    <row r="82" spans="1:44" x14ac:dyDescent="0.3">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row>
    <row r="83" spans="1:44" x14ac:dyDescent="0.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row>
    <row r="84" spans="1:44" x14ac:dyDescent="0.3">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row>
    <row r="85" spans="1:44" x14ac:dyDescent="0.3">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row>
    <row r="86" spans="1:44" x14ac:dyDescent="0.3">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row>
    <row r="87" spans="1:44" x14ac:dyDescent="0.3">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row>
    <row r="88" spans="1:44" x14ac:dyDescent="0.3">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row>
    <row r="89" spans="1:44" x14ac:dyDescent="0.3">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row>
    <row r="90" spans="1:44" x14ac:dyDescent="0.3">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row>
    <row r="91" spans="1:44" x14ac:dyDescent="0.3">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row>
    <row r="92" spans="1:44" x14ac:dyDescent="0.3">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row>
    <row r="93" spans="1:44" x14ac:dyDescent="0.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row>
    <row r="94" spans="1:44" x14ac:dyDescent="0.3">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row>
    <row r="95" spans="1:44" x14ac:dyDescent="0.3">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row>
    <row r="96" spans="1:44" x14ac:dyDescent="0.3">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row>
    <row r="97" spans="1:44" x14ac:dyDescent="0.3">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row>
    <row r="98" spans="1:44" x14ac:dyDescent="0.3">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row>
    <row r="99" spans="1:44" x14ac:dyDescent="0.3">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row>
    <row r="100" spans="1:44"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row>
    <row r="101" spans="1:44" x14ac:dyDescent="0.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row>
    <row r="102" spans="1:44" x14ac:dyDescent="0.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row>
    <row r="103" spans="1:44" x14ac:dyDescent="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row>
    <row r="104" spans="1:44" x14ac:dyDescent="0.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row>
    <row r="105" spans="1:44" x14ac:dyDescent="0.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row>
    <row r="106" spans="1:44" x14ac:dyDescent="0.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row>
    <row r="107" spans="1:44" x14ac:dyDescent="0.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row>
    <row r="108" spans="1:44" x14ac:dyDescent="0.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row>
    <row r="109" spans="1:44" x14ac:dyDescent="0.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row>
    <row r="110" spans="1:44" x14ac:dyDescent="0.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row>
    <row r="111" spans="1:44" x14ac:dyDescent="0.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row>
    <row r="112" spans="1:44" x14ac:dyDescent="0.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row>
    <row r="113" spans="1:44" x14ac:dyDescent="0.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3" r:id="rId3" name="Check Box 1">
              <controlPr defaultSize="0" autoFill="0" autoLine="0" autoPict="0">
                <anchor moveWithCells="1">
                  <from>
                    <xdr:col>7</xdr:col>
                    <xdr:colOff>175260</xdr:colOff>
                    <xdr:row>12</xdr:row>
                    <xdr:rowOff>76200</xdr:rowOff>
                  </from>
                  <to>
                    <xdr:col>8</xdr:col>
                    <xdr:colOff>259080</xdr:colOff>
                    <xdr:row>13</xdr:row>
                    <xdr:rowOff>121920</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D1180-493D-41F5-B2A5-641229772CAB}">
  <dimension ref="A1:I107"/>
  <sheetViews>
    <sheetView showGridLines="0" zoomScale="90" zoomScaleNormal="90" workbookViewId="0">
      <selection activeCell="L115" sqref="L115"/>
    </sheetView>
  </sheetViews>
  <sheetFormatPr defaultRowHeight="14.4" x14ac:dyDescent="0.3"/>
  <cols>
    <col min="1" max="1" width="21.44140625" bestFit="1" customWidth="1"/>
    <col min="2" max="2" width="15.44140625" customWidth="1"/>
    <col min="3" max="3" width="8.44140625" customWidth="1"/>
    <col min="4" max="4" width="15.44140625" customWidth="1"/>
    <col min="5" max="5" width="13.44140625" customWidth="1"/>
  </cols>
  <sheetData>
    <row r="1" spans="1:5" x14ac:dyDescent="0.3">
      <c r="A1" t="s">
        <v>498</v>
      </c>
      <c r="B1" t="s">
        <v>499</v>
      </c>
      <c r="C1" t="s">
        <v>500</v>
      </c>
      <c r="D1" t="s">
        <v>501</v>
      </c>
    </row>
    <row r="2" spans="1:5" x14ac:dyDescent="0.3">
      <c r="A2">
        <f>GETPIVOTDATA("Count of Order_ID",Pivot!$B$3)</f>
        <v>103</v>
      </c>
      <c r="B2" s="19">
        <f>GETPIVOTDATA("Sum of Quantity",Pivot!$B$3)</f>
        <v>9283</v>
      </c>
      <c r="C2" s="7">
        <f>GETPIVOTDATA("Sum of Total_Cost",Pivot!$B$3)</f>
        <v>542537.51000000024</v>
      </c>
      <c r="D2" s="20">
        <f>GETPIVOTDATA("Average of Delay_Days",Pivot!$B$3)</f>
        <v>14.106796116504855</v>
      </c>
    </row>
    <row r="5" spans="1:5" x14ac:dyDescent="0.3">
      <c r="C5">
        <f>IFERROR(MATCH(B6,Pivot!B65:B66,0),2)</f>
        <v>2</v>
      </c>
      <c r="D5" s="6" t="str" cm="1">
        <f t="array" ref="D5">INDEX($C$6:$D$6,1,C5)</f>
        <v>2024</v>
      </c>
    </row>
    <row r="6" spans="1:5" x14ac:dyDescent="0.3">
      <c r="B6" s="2" t="s">
        <v>460</v>
      </c>
      <c r="C6" s="2" t="s">
        <v>460</v>
      </c>
      <c r="D6" s="2" t="s">
        <v>461</v>
      </c>
      <c r="E6" s="2" t="s">
        <v>461</v>
      </c>
    </row>
    <row r="7" spans="1:5" x14ac:dyDescent="0.3">
      <c r="A7" t="s">
        <v>502</v>
      </c>
      <c r="B7" t="s">
        <v>503</v>
      </c>
      <c r="C7" t="s">
        <v>504</v>
      </c>
      <c r="D7" t="s">
        <v>503</v>
      </c>
      <c r="E7" t="s">
        <v>504</v>
      </c>
    </row>
    <row r="8" spans="1:5" x14ac:dyDescent="0.3">
      <c r="A8" s="2" t="s">
        <v>462</v>
      </c>
      <c r="B8" s="8" t="e">
        <f>IF($C$5=1,GETPIVOTDATA("Sum of Quantity",Pivot!$G$11,"Months (Order_Date)",A8),NA())</f>
        <v>#N/A</v>
      </c>
      <c r="C8" s="8" t="e">
        <f>IF($C$5=1,IFERROR(GETPIVOTDATA("Sum of Quantity",Pivot!$B$11,"Months (Order_Date)",A8),NA()),NA())</f>
        <v>#N/A</v>
      </c>
      <c r="D8" s="8" t="e">
        <f>IF($C$5=1,NA(),GETPIVOTDATA("Sum of Quantity",Pivot!$G$11,"Months (Order_Date)",A8))</f>
        <v>#REF!</v>
      </c>
      <c r="E8" s="8" t="e">
        <f>IF($C$5=1,NA(),IFERROR(GETPIVOTDATA("Sum of Quantity",Pivot!$B$11,"Months (Order_Date)",A8),NA()))</f>
        <v>#N/A</v>
      </c>
    </row>
    <row r="9" spans="1:5" x14ac:dyDescent="0.3">
      <c r="A9" s="2" t="s">
        <v>463</v>
      </c>
      <c r="B9" s="8" t="e">
        <f>IF($C$5=1,GETPIVOTDATA("Sum of Quantity",Pivot!$G$11,"Months (Order_Date)",A9),NA())</f>
        <v>#N/A</v>
      </c>
      <c r="C9" s="8" t="e">
        <f>IF($C$5=1,IFERROR(GETPIVOTDATA("Sum of Quantity",Pivot!$B$11,"Months (Order_Date)",A9),NA()),NA())</f>
        <v>#N/A</v>
      </c>
      <c r="D9" s="8" t="e">
        <f>IF($C$5=1,NA(),GETPIVOTDATA("Sum of Quantity",Pivot!$G$11,"Months (Order_Date)",A9))</f>
        <v>#REF!</v>
      </c>
      <c r="E9" s="8" t="e">
        <f>IF($C$5=1,NA(),IFERROR(GETPIVOTDATA("Sum of Quantity",Pivot!$B$11,"Months (Order_Date)",A9),NA()))</f>
        <v>#N/A</v>
      </c>
    </row>
    <row r="10" spans="1:5" x14ac:dyDescent="0.3">
      <c r="A10" s="2" t="s">
        <v>464</v>
      </c>
      <c r="B10" s="8" t="e">
        <f>IF($C$5=1,GETPIVOTDATA("Sum of Quantity",Pivot!$G$11,"Months (Order_Date)",A10),NA())</f>
        <v>#N/A</v>
      </c>
      <c r="C10" s="8" t="e">
        <f>IF($C$5=1,IFERROR(GETPIVOTDATA("Sum of Quantity",Pivot!$B$11,"Months (Order_Date)",A10),NA()),NA())</f>
        <v>#N/A</v>
      </c>
      <c r="D10" s="8" t="e">
        <f>IF($C$5=1,NA(),GETPIVOTDATA("Sum of Quantity",Pivot!$G$11,"Months (Order_Date)",A10))</f>
        <v>#REF!</v>
      </c>
      <c r="E10" s="8" t="e">
        <f>IF($C$5=1,NA(),IFERROR(GETPIVOTDATA("Sum of Quantity",Pivot!$B$11,"Months (Order_Date)",A10),NA()))</f>
        <v>#N/A</v>
      </c>
    </row>
    <row r="11" spans="1:5" x14ac:dyDescent="0.3">
      <c r="A11" s="2" t="s">
        <v>465</v>
      </c>
      <c r="B11" s="8" t="e">
        <f>IF($C$5=1,GETPIVOTDATA("Sum of Quantity",Pivot!$G$11,"Months (Order_Date)",A11),NA())</f>
        <v>#N/A</v>
      </c>
      <c r="C11" s="8" t="e">
        <f>IF($C$5=1,IFERROR(GETPIVOTDATA("Sum of Quantity",Pivot!$B$11,"Months (Order_Date)",A11),NA()),NA())</f>
        <v>#N/A</v>
      </c>
      <c r="D11" s="8" t="e">
        <f>IF($C$5=1,NA(),GETPIVOTDATA("Sum of Quantity",Pivot!$G$11,"Months (Order_Date)",A11))</f>
        <v>#REF!</v>
      </c>
      <c r="E11" s="8" t="e">
        <f>IF($C$5=1,NA(),IFERROR(GETPIVOTDATA("Sum of Quantity",Pivot!$B$11,"Months (Order_Date)",A11),NA()))</f>
        <v>#N/A</v>
      </c>
    </row>
    <row r="12" spans="1:5" x14ac:dyDescent="0.3">
      <c r="A12" s="2" t="s">
        <v>466</v>
      </c>
      <c r="B12" s="8" t="e">
        <f>IF($C$5=1,GETPIVOTDATA("Sum of Quantity",Pivot!$G$11,"Months (Order_Date)",A12),NA())</f>
        <v>#N/A</v>
      </c>
      <c r="C12" s="8" t="e">
        <f>IF($C$5=1,IFERROR(GETPIVOTDATA("Sum of Quantity",Pivot!$B$11,"Months (Order_Date)",A12),NA()),NA())</f>
        <v>#N/A</v>
      </c>
      <c r="D12" s="8" t="e">
        <f>IF($C$5=1,NA(),GETPIVOTDATA("Sum of Quantity",Pivot!$G$11,"Months (Order_Date)",A12))</f>
        <v>#REF!</v>
      </c>
      <c r="E12" s="8" t="e">
        <f>IF($C$5=1,NA(),IFERROR(GETPIVOTDATA("Sum of Quantity",Pivot!$B$11,"Months (Order_Date)",A12),NA()))</f>
        <v>#N/A</v>
      </c>
    </row>
    <row r="13" spans="1:5" x14ac:dyDescent="0.3">
      <c r="A13" s="2" t="s">
        <v>467</v>
      </c>
      <c r="B13" s="8" t="e">
        <f>IF($C$5=1,GETPIVOTDATA("Sum of Quantity",Pivot!$G$11,"Months (Order_Date)",A13),NA())</f>
        <v>#N/A</v>
      </c>
      <c r="C13" s="8" t="e">
        <f>IF($C$5=1,IFERROR(GETPIVOTDATA("Sum of Quantity",Pivot!$B$11,"Months (Order_Date)",A13),NA()),NA())</f>
        <v>#N/A</v>
      </c>
      <c r="D13" s="8" t="e">
        <f>IF($C$5=1,NA(),GETPIVOTDATA("Sum of Quantity",Pivot!$G$11,"Months (Order_Date)",A13))</f>
        <v>#REF!</v>
      </c>
      <c r="E13" s="8" t="e">
        <f>IF($C$5=1,NA(),IFERROR(GETPIVOTDATA("Sum of Quantity",Pivot!$B$11,"Months (Order_Date)",A13),NA()))</f>
        <v>#N/A</v>
      </c>
    </row>
    <row r="14" spans="1:5" x14ac:dyDescent="0.3">
      <c r="A14" s="2" t="s">
        <v>468</v>
      </c>
      <c r="B14" s="8" t="e">
        <f>IF($C$5=1,GETPIVOTDATA("Sum of Quantity",Pivot!$G$11,"Months (Order_Date)",A14),NA())</f>
        <v>#N/A</v>
      </c>
      <c r="C14" s="8" t="e">
        <f>IF($C$5=1,IFERROR(GETPIVOTDATA("Sum of Quantity",Pivot!$B$11,"Months (Order_Date)",A14),NA()),NA())</f>
        <v>#N/A</v>
      </c>
      <c r="D14" s="8" t="e">
        <f>IF($C$5=1,NA(),GETPIVOTDATA("Sum of Quantity",Pivot!$G$11,"Months (Order_Date)",A14))</f>
        <v>#REF!</v>
      </c>
      <c r="E14" s="8" t="e">
        <f>IF($C$5=1,NA(),IFERROR(GETPIVOTDATA("Sum of Quantity",Pivot!$B$11,"Months (Order_Date)",A14),NA()))</f>
        <v>#N/A</v>
      </c>
    </row>
    <row r="15" spans="1:5" x14ac:dyDescent="0.3">
      <c r="A15" s="2" t="s">
        <v>469</v>
      </c>
      <c r="B15" s="8" t="e">
        <f>IF($C$5=1,GETPIVOTDATA("Sum of Quantity",Pivot!$G$11,"Months (Order_Date)",A15),NA())</f>
        <v>#N/A</v>
      </c>
      <c r="C15" s="8" t="e">
        <f>IF($C$5=1,IFERROR(GETPIVOTDATA("Sum of Quantity",Pivot!$B$11,"Months (Order_Date)",A15),NA()),NA())</f>
        <v>#N/A</v>
      </c>
      <c r="D15" s="8" t="e">
        <f>IF($C$5=1,NA(),GETPIVOTDATA("Sum of Quantity",Pivot!$G$11,"Months (Order_Date)",A15))</f>
        <v>#REF!</v>
      </c>
      <c r="E15" s="8" t="e">
        <f>IF($C$5=1,NA(),IFERROR(GETPIVOTDATA("Sum of Quantity",Pivot!$B$11,"Months (Order_Date)",A15),NA()))</f>
        <v>#N/A</v>
      </c>
    </row>
    <row r="16" spans="1:5" x14ac:dyDescent="0.3">
      <c r="A16" s="2" t="s">
        <v>470</v>
      </c>
      <c r="B16" s="8" t="e">
        <f>IF($C$5=1,GETPIVOTDATA("Sum of Quantity",Pivot!$G$11,"Months (Order_Date)",A16),NA())</f>
        <v>#N/A</v>
      </c>
      <c r="C16" s="8" t="e">
        <f>IF($C$5=1,IFERROR(GETPIVOTDATA("Sum of Quantity",Pivot!$B$11,"Months (Order_Date)",A16),NA()),NA())</f>
        <v>#N/A</v>
      </c>
      <c r="D16" s="8" t="e">
        <f>IF($C$5=1,NA(),GETPIVOTDATA("Sum of Quantity",Pivot!$G$11,"Months (Order_Date)",A16))</f>
        <v>#REF!</v>
      </c>
      <c r="E16" s="8" t="e">
        <f>IF($C$5=1,NA(),IFERROR(GETPIVOTDATA("Sum of Quantity",Pivot!$B$11,"Months (Order_Date)",A16),NA()))</f>
        <v>#N/A</v>
      </c>
    </row>
    <row r="17" spans="1:6" x14ac:dyDescent="0.3">
      <c r="A17" s="2" t="s">
        <v>471</v>
      </c>
      <c r="B17" s="8" t="e">
        <f>IF($C$5=1,GETPIVOTDATA("Sum of Quantity",Pivot!$G$11,"Months (Order_Date)",A17),NA())</f>
        <v>#N/A</v>
      </c>
      <c r="C17" s="8" t="e">
        <f>IF($C$5=1,IFERROR(GETPIVOTDATA("Sum of Quantity",Pivot!$B$11,"Months (Order_Date)",A17),NA()),NA())</f>
        <v>#N/A</v>
      </c>
      <c r="D17" s="8" t="e">
        <f>IF($C$5=1,NA(),GETPIVOTDATA("Sum of Quantity",Pivot!$G$11,"Months (Order_Date)",A17))</f>
        <v>#REF!</v>
      </c>
      <c r="E17" s="8" t="e">
        <f>IF($C$5=1,NA(),IFERROR(GETPIVOTDATA("Sum of Quantity",Pivot!$B$11,"Months (Order_Date)",A17),NA()))</f>
        <v>#N/A</v>
      </c>
    </row>
    <row r="18" spans="1:6" x14ac:dyDescent="0.3">
      <c r="A18" s="2" t="s">
        <v>472</v>
      </c>
      <c r="B18" s="8" t="e">
        <f>IF($C$5=1,GETPIVOTDATA("Sum of Quantity",Pivot!$G$11,"Months (Order_Date)",A18),NA())</f>
        <v>#N/A</v>
      </c>
      <c r="C18" s="8" t="e">
        <f>IF($C$5=1,IFERROR(GETPIVOTDATA("Sum of Quantity",Pivot!$B$11,"Months (Order_Date)",A18),NA()),NA())</f>
        <v>#N/A</v>
      </c>
      <c r="D18" s="8" t="e">
        <f>IF($C$5=1,NA(),GETPIVOTDATA("Sum of Quantity",Pivot!$G$11,"Months (Order_Date)",A18))</f>
        <v>#REF!</v>
      </c>
      <c r="E18" s="8" t="e">
        <f>IF($C$5=1,NA(),IFERROR(GETPIVOTDATA("Sum of Quantity",Pivot!$B$11,"Months (Order_Date)",A18),NA()))</f>
        <v>#N/A</v>
      </c>
    </row>
    <row r="19" spans="1:6" x14ac:dyDescent="0.3">
      <c r="A19" s="2" t="s">
        <v>473</v>
      </c>
      <c r="B19" s="8" t="e">
        <f>IF($C$5=1,GETPIVOTDATA("Sum of Quantity",Pivot!$G$11,"Months (Order_Date)",A19),NA())</f>
        <v>#N/A</v>
      </c>
      <c r="C19" s="8" t="e">
        <f>IF($C$5=1,IFERROR(GETPIVOTDATA("Sum of Quantity",Pivot!$B$11,"Months (Order_Date)",A19),NA()),NA())</f>
        <v>#N/A</v>
      </c>
      <c r="D19" s="8" t="e">
        <f>IF($C$5=1,NA(),GETPIVOTDATA("Sum of Quantity",Pivot!$G$11,"Months (Order_Date)",A19))</f>
        <v>#REF!</v>
      </c>
      <c r="E19" s="8" t="e">
        <f>IF($C$5=1,NA(),IFERROR(GETPIVOTDATA("Sum of Quantity",Pivot!$B$11,"Months (Order_Date)",A19),NA()))</f>
        <v>#N/A</v>
      </c>
    </row>
    <row r="20" spans="1:6" x14ac:dyDescent="0.3">
      <c r="C20" s="9" cm="1">
        <f t="array" ref="C20">SUM(IFERROR(INDEX(($C$8:$C$19,$E$8:$E$19),0,1,$C$5),""))</f>
        <v>0</v>
      </c>
      <c r="D20">
        <f>IF(D22,0,1)</f>
        <v>1</v>
      </c>
    </row>
    <row r="21" spans="1:6" x14ac:dyDescent="0.3">
      <c r="D21">
        <f>IF($D$22,1,0)</f>
        <v>0</v>
      </c>
    </row>
    <row r="22" spans="1:6" x14ac:dyDescent="0.3">
      <c r="D22" t="b">
        <v>0</v>
      </c>
      <c r="E22" s="11">
        <v>1.05</v>
      </c>
    </row>
    <row r="23" spans="1:6" x14ac:dyDescent="0.3">
      <c r="A23" t="s">
        <v>502</v>
      </c>
      <c r="B23" s="4" t="s">
        <v>461</v>
      </c>
      <c r="C23" s="4" t="s">
        <v>506</v>
      </c>
      <c r="D23" s="4" t="s">
        <v>460</v>
      </c>
      <c r="E23" s="10" t="s">
        <v>508</v>
      </c>
      <c r="F23" s="10" t="s">
        <v>509</v>
      </c>
    </row>
    <row r="24" spans="1:6" x14ac:dyDescent="0.3">
      <c r="A24" s="2" t="s">
        <v>462</v>
      </c>
      <c r="B24" s="8">
        <f>GETPIVOTDATA("Quantity",Pivot!$H$70,"Months (Order_Date)",$A24,"Years (Order_Date)",B$23)</f>
        <v>952</v>
      </c>
      <c r="C24" s="8" t="e">
        <f>IFERROR(GETPIVOTDATA("Quantity",Pivot!$B$70,"Months (Order_Date)",$A24,"Years (Order_Date)",B$23),NA())</f>
        <v>#N/A</v>
      </c>
      <c r="D24" s="8" t="e">
        <f>IF($D$22,GETPIVOTDATA("Quantity",Pivot!$H$70,"Months (Order_Date)",$A24,"Years (Order_Date)",D$23),NA())</f>
        <v>#N/A</v>
      </c>
      <c r="E24" s="8" t="e">
        <f>C24*$E$22</f>
        <v>#N/A</v>
      </c>
      <c r="F24" s="8" t="e">
        <f t="shared" ref="F24:F35" si="0">D24</f>
        <v>#N/A</v>
      </c>
    </row>
    <row r="25" spans="1:6" x14ac:dyDescent="0.3">
      <c r="A25" s="2" t="s">
        <v>463</v>
      </c>
      <c r="B25" s="8">
        <f>GETPIVOTDATA("Quantity",Pivot!$H$70,"Months (Order_Date)",$A25,"Years (Order_Date)",B$23)</f>
        <v>1091</v>
      </c>
      <c r="C25" s="8" t="e">
        <f>IFERROR(GETPIVOTDATA("Quantity",Pivot!$B$70,"Months (Order_Date)",$A25,"Years (Order_Date)",B$23),NA())</f>
        <v>#N/A</v>
      </c>
      <c r="D25" s="8" t="e">
        <f>IF($D$22,GETPIVOTDATA("Quantity",Pivot!$H$70,"Months (Order_Date)",$A25,"Years (Order_Date)",D$23),NA())</f>
        <v>#N/A</v>
      </c>
      <c r="E25" s="8" t="e">
        <f t="shared" ref="E25:E35" si="1">C25*$E$22</f>
        <v>#N/A</v>
      </c>
      <c r="F25" s="8" t="e">
        <f t="shared" si="0"/>
        <v>#N/A</v>
      </c>
    </row>
    <row r="26" spans="1:6" x14ac:dyDescent="0.3">
      <c r="A26" s="2" t="s">
        <v>464</v>
      </c>
      <c r="B26" s="8">
        <f>GETPIVOTDATA("Quantity",Pivot!$H$70,"Months (Order_Date)",$A26,"Years (Order_Date)",B$23)</f>
        <v>1281</v>
      </c>
      <c r="C26" s="8">
        <f>IFERROR(GETPIVOTDATA("Quantity",Pivot!$B$70,"Months (Order_Date)",$A26,"Years (Order_Date)",B$23),NA())</f>
        <v>1281</v>
      </c>
      <c r="D26" s="8" t="e">
        <f>IF($D$22,GETPIVOTDATA("Quantity",Pivot!$H$70,"Months (Order_Date)",$A26,"Years (Order_Date)",D$23),NA())</f>
        <v>#N/A</v>
      </c>
      <c r="E26" s="8">
        <f t="shared" si="1"/>
        <v>1345.05</v>
      </c>
      <c r="F26" s="8" t="e">
        <f t="shared" si="0"/>
        <v>#N/A</v>
      </c>
    </row>
    <row r="27" spans="1:6" x14ac:dyDescent="0.3">
      <c r="A27" s="2" t="s">
        <v>465</v>
      </c>
      <c r="B27" s="8">
        <f>GETPIVOTDATA("Quantity",Pivot!$H$70,"Months (Order_Date)",$A27,"Years (Order_Date)",B$23)</f>
        <v>920</v>
      </c>
      <c r="C27" s="8">
        <f>IFERROR(GETPIVOTDATA("Quantity",Pivot!$B$70,"Months (Order_Date)",$A27,"Years (Order_Date)",B$23),NA())</f>
        <v>920</v>
      </c>
      <c r="D27" s="8" t="e">
        <f>IF($D$22,GETPIVOTDATA("Quantity",Pivot!$H$70,"Months (Order_Date)",$A27,"Years (Order_Date)",D$23),NA())</f>
        <v>#N/A</v>
      </c>
      <c r="E27" s="8">
        <f t="shared" si="1"/>
        <v>966</v>
      </c>
      <c r="F27" s="8" t="e">
        <f t="shared" si="0"/>
        <v>#N/A</v>
      </c>
    </row>
    <row r="28" spans="1:6" x14ac:dyDescent="0.3">
      <c r="A28" s="2" t="s">
        <v>466</v>
      </c>
      <c r="B28" s="8">
        <f>GETPIVOTDATA("Quantity",Pivot!$H$70,"Months (Order_Date)",$A28,"Years (Order_Date)",B$23)</f>
        <v>615</v>
      </c>
      <c r="C28" s="8">
        <f>IFERROR(GETPIVOTDATA("Quantity",Pivot!$B$70,"Months (Order_Date)",$A28,"Years (Order_Date)",B$23),NA())</f>
        <v>615</v>
      </c>
      <c r="D28" s="8" t="e">
        <f>IF($D$22,GETPIVOTDATA("Quantity",Pivot!$H$70,"Months (Order_Date)",$A28,"Years (Order_Date)",D$23),NA())</f>
        <v>#N/A</v>
      </c>
      <c r="E28" s="8">
        <f t="shared" si="1"/>
        <v>645.75</v>
      </c>
      <c r="F28" s="8" t="e">
        <f t="shared" si="0"/>
        <v>#N/A</v>
      </c>
    </row>
    <row r="29" spans="1:6" x14ac:dyDescent="0.3">
      <c r="A29" s="2" t="s">
        <v>467</v>
      </c>
      <c r="B29" s="8">
        <f>GETPIVOTDATA("Quantity",Pivot!$H$70,"Months (Order_Date)",$A29,"Years (Order_Date)",B$23)</f>
        <v>694</v>
      </c>
      <c r="C29" s="8">
        <f>IFERROR(GETPIVOTDATA("Quantity",Pivot!$B$70,"Months (Order_Date)",$A29,"Years (Order_Date)",B$23),NA())</f>
        <v>694</v>
      </c>
      <c r="D29" s="8" t="e">
        <f>IF($D$22,GETPIVOTDATA("Quantity",Pivot!$H$70,"Months (Order_Date)",$A29,"Years (Order_Date)",D$23),NA())</f>
        <v>#N/A</v>
      </c>
      <c r="E29" s="8">
        <f t="shared" si="1"/>
        <v>728.7</v>
      </c>
      <c r="F29" s="8" t="e">
        <f t="shared" si="0"/>
        <v>#N/A</v>
      </c>
    </row>
    <row r="30" spans="1:6" x14ac:dyDescent="0.3">
      <c r="A30" s="2" t="s">
        <v>468</v>
      </c>
      <c r="B30" s="8">
        <f>GETPIVOTDATA("Quantity",Pivot!$H$70,"Months (Order_Date)",$A30,"Years (Order_Date)",B$23)</f>
        <v>565</v>
      </c>
      <c r="C30" s="8">
        <f>IFERROR(GETPIVOTDATA("Quantity",Pivot!$B$70,"Months (Order_Date)",$A30,"Years (Order_Date)",B$23),NA())</f>
        <v>565</v>
      </c>
      <c r="D30" s="8" t="e">
        <f>IF($D$22,GETPIVOTDATA("Quantity",Pivot!$H$70,"Months (Order_Date)",$A30,"Years (Order_Date)",D$23),NA())</f>
        <v>#N/A</v>
      </c>
      <c r="E30" s="8">
        <f t="shared" si="1"/>
        <v>593.25</v>
      </c>
      <c r="F30" s="8" t="e">
        <f t="shared" si="0"/>
        <v>#N/A</v>
      </c>
    </row>
    <row r="31" spans="1:6" x14ac:dyDescent="0.3">
      <c r="A31" s="2" t="s">
        <v>469</v>
      </c>
      <c r="B31" s="8">
        <f>GETPIVOTDATA("Quantity",Pivot!$H$70,"Months (Order_Date)",$A31,"Years (Order_Date)",B$23)</f>
        <v>1288</v>
      </c>
      <c r="C31" s="8">
        <f>IFERROR(GETPIVOTDATA("Quantity",Pivot!$B$70,"Months (Order_Date)",$A31,"Years (Order_Date)",B$23),NA())</f>
        <v>1288</v>
      </c>
      <c r="D31" s="8" t="e">
        <f>IF($D$22,GETPIVOTDATA("Quantity",Pivot!$H$70,"Months (Order_Date)",$A31,"Years (Order_Date)",D$23),NA())</f>
        <v>#N/A</v>
      </c>
      <c r="E31" s="8">
        <f t="shared" si="1"/>
        <v>1352.4</v>
      </c>
      <c r="F31" s="8" t="e">
        <f t="shared" si="0"/>
        <v>#N/A</v>
      </c>
    </row>
    <row r="32" spans="1:6" x14ac:dyDescent="0.3">
      <c r="A32" s="2" t="s">
        <v>470</v>
      </c>
      <c r="B32" s="8">
        <f>GETPIVOTDATA("Quantity",Pivot!$H$70,"Months (Order_Date)",$A32,"Years (Order_Date)",B$23)</f>
        <v>1459</v>
      </c>
      <c r="C32" s="8">
        <f>IFERROR(GETPIVOTDATA("Quantity",Pivot!$B$70,"Months (Order_Date)",$A32,"Years (Order_Date)",B$23),NA())</f>
        <v>1459</v>
      </c>
      <c r="D32" s="8" t="e">
        <f>IF($D$22,GETPIVOTDATA("Quantity",Pivot!$H$70,"Months (Order_Date)",$A32,"Years (Order_Date)",D$23),NA())</f>
        <v>#N/A</v>
      </c>
      <c r="E32" s="8">
        <f t="shared" si="1"/>
        <v>1531.95</v>
      </c>
      <c r="F32" s="8" t="e">
        <f t="shared" si="0"/>
        <v>#N/A</v>
      </c>
    </row>
    <row r="33" spans="1:9" x14ac:dyDescent="0.3">
      <c r="A33" s="2" t="s">
        <v>471</v>
      </c>
      <c r="B33" s="8">
        <f>GETPIVOTDATA("Quantity",Pivot!$H$70,"Months (Order_Date)",$A33,"Years (Order_Date)",B$23)</f>
        <v>1618</v>
      </c>
      <c r="C33" s="8">
        <f>IFERROR(GETPIVOTDATA("Quantity",Pivot!$B$70,"Months (Order_Date)",$A33,"Years (Order_Date)",B$23),NA())</f>
        <v>1618</v>
      </c>
      <c r="D33" s="8" t="e">
        <f>IF($D$22,GETPIVOTDATA("Quantity",Pivot!$H$70,"Months (Order_Date)",$A33,"Years (Order_Date)",D$23),NA())</f>
        <v>#N/A</v>
      </c>
      <c r="E33" s="8">
        <f t="shared" si="1"/>
        <v>1698.9</v>
      </c>
      <c r="F33" s="8" t="e">
        <f t="shared" si="0"/>
        <v>#N/A</v>
      </c>
    </row>
    <row r="34" spans="1:9" x14ac:dyDescent="0.3">
      <c r="A34" s="2" t="s">
        <v>472</v>
      </c>
      <c r="B34" s="8">
        <f>GETPIVOTDATA("Quantity",Pivot!$H$70,"Months (Order_Date)",$A34,"Years (Order_Date)",B$23)</f>
        <v>843</v>
      </c>
      <c r="C34" s="8">
        <f>IFERROR(GETPIVOTDATA("Quantity",Pivot!$B$70,"Months (Order_Date)",$A34,"Years (Order_Date)",B$23),NA())</f>
        <v>843</v>
      </c>
      <c r="D34" s="8" t="e">
        <f>IF($D$22,GETPIVOTDATA("Quantity",Pivot!$H$70,"Months (Order_Date)",$A34,"Years (Order_Date)",D$23),NA())</f>
        <v>#N/A</v>
      </c>
      <c r="E34" s="8">
        <f t="shared" si="1"/>
        <v>885.15000000000009</v>
      </c>
      <c r="F34" s="8" t="e">
        <f t="shared" si="0"/>
        <v>#N/A</v>
      </c>
    </row>
    <row r="35" spans="1:9" x14ac:dyDescent="0.3">
      <c r="A35" s="2" t="s">
        <v>473</v>
      </c>
      <c r="B35" s="8">
        <f>GETPIVOTDATA("Quantity",Pivot!$H$70,"Months (Order_Date)",$A35,"Years (Order_Date)",B$23)</f>
        <v>657</v>
      </c>
      <c r="C35" s="8" t="e">
        <f>IFERROR(GETPIVOTDATA("Quantity",Pivot!$B$70,"Months (Order_Date)",$A35,"Years (Order_Date)",B$23),NA())</f>
        <v>#N/A</v>
      </c>
      <c r="D35" s="8" t="e">
        <f>IF($D$22,GETPIVOTDATA("Quantity",Pivot!$H$70,"Months (Order_Date)",$A35,"Years (Order_Date)",D$23),NA())</f>
        <v>#N/A</v>
      </c>
      <c r="E35" s="8" t="e">
        <f t="shared" si="1"/>
        <v>#N/A</v>
      </c>
      <c r="F35" s="8" t="e">
        <f t="shared" si="0"/>
        <v>#N/A</v>
      </c>
    </row>
    <row r="36" spans="1:9" x14ac:dyDescent="0.3">
      <c r="C36" s="12">
        <f>SUMIF(C24:C35,"&gt;0")</f>
        <v>9283</v>
      </c>
      <c r="D36" s="12" t="str">
        <f>IF($D$22,SUMIF(D24:D35,"&gt;0"),"")</f>
        <v/>
      </c>
    </row>
    <row r="37" spans="1:9" x14ac:dyDescent="0.3">
      <c r="D37" t="str">
        <f>IF(D36&lt;&gt;"",2023,"")</f>
        <v/>
      </c>
    </row>
    <row r="39" spans="1:9" x14ac:dyDescent="0.3">
      <c r="A39" t="s">
        <v>510</v>
      </c>
      <c r="B39" s="15" t="s">
        <v>511</v>
      </c>
      <c r="C39" s="15" t="s">
        <v>512</v>
      </c>
      <c r="D39" t="s">
        <v>520</v>
      </c>
    </row>
    <row r="40" spans="1:9" x14ac:dyDescent="0.3">
      <c r="A40" s="2" t="s">
        <v>487</v>
      </c>
      <c r="B40" s="18">
        <f>GETPIVOTDATA("Total_Cost",Pivot!$F$56,"Country",A40)</f>
        <v>162070.26000000004</v>
      </c>
      <c r="C40" s="13">
        <f>B40/MAX($B$40:$B$43)</f>
        <v>0.68257893888310794</v>
      </c>
      <c r="D40" s="13">
        <f>B40/$B$44</f>
        <v>0.29872636824687021</v>
      </c>
      <c r="E40" s="11">
        <f>1-D40</f>
        <v>0.70127363175312984</v>
      </c>
      <c r="G40" s="13"/>
      <c r="H40" s="13"/>
    </row>
    <row r="41" spans="1:9" x14ac:dyDescent="0.3">
      <c r="A41" s="2" t="s">
        <v>486</v>
      </c>
      <c r="B41" s="18">
        <f>GETPIVOTDATA("Total_Cost",Pivot!$F$56,"Country",A41)</f>
        <v>237438.12</v>
      </c>
      <c r="C41" s="13">
        <f t="shared" ref="C41:C43" si="2">B41/MAX($B$40:$B$43)</f>
        <v>1</v>
      </c>
      <c r="D41" s="13">
        <f t="shared" ref="D41:D43" si="3">B41/$B$44</f>
        <v>0.43764369398163822</v>
      </c>
      <c r="E41" s="11">
        <f t="shared" ref="E41:E43" si="4">1-D41</f>
        <v>0.56235630601836184</v>
      </c>
      <c r="G41" s="13"/>
      <c r="H41" s="13"/>
    </row>
    <row r="42" spans="1:9" x14ac:dyDescent="0.3">
      <c r="A42" s="2" t="s">
        <v>488</v>
      </c>
      <c r="B42" s="18">
        <f>GETPIVOTDATA("Total_Cost",Pivot!$F$56,"Country",A42)</f>
        <v>72757.669999999984</v>
      </c>
      <c r="C42" s="13">
        <f t="shared" si="2"/>
        <v>0.30642792319952661</v>
      </c>
      <c r="D42" s="13">
        <f t="shared" si="3"/>
        <v>0.13410624824816256</v>
      </c>
      <c r="E42" s="11">
        <f t="shared" si="4"/>
        <v>0.86589375175183747</v>
      </c>
      <c r="G42" s="13"/>
      <c r="H42" s="13"/>
    </row>
    <row r="43" spans="1:9" x14ac:dyDescent="0.3">
      <c r="A43" s="2" t="s">
        <v>485</v>
      </c>
      <c r="B43" s="18">
        <f>GETPIVOTDATA("Total_Cost",Pivot!$F$56,"Country",A43)</f>
        <v>70271.460000000006</v>
      </c>
      <c r="C43" s="13">
        <f t="shared" si="2"/>
        <v>0.29595694238145082</v>
      </c>
      <c r="D43" s="13">
        <f t="shared" si="3"/>
        <v>0.12952368952332902</v>
      </c>
      <c r="E43" s="11">
        <f t="shared" si="4"/>
        <v>0.87047631047667096</v>
      </c>
      <c r="G43" s="13"/>
      <c r="H43" s="13"/>
    </row>
    <row r="44" spans="1:9" x14ac:dyDescent="0.3">
      <c r="A44" s="2" t="s">
        <v>500</v>
      </c>
      <c r="B44" s="17">
        <f>SUM(B40:B43)</f>
        <v>542537.51</v>
      </c>
    </row>
    <row r="45" spans="1:9" x14ac:dyDescent="0.3">
      <c r="B45" t="s">
        <v>515</v>
      </c>
      <c r="D45" t="s">
        <v>516</v>
      </c>
      <c r="F45" t="s">
        <v>517</v>
      </c>
      <c r="H45" t="s">
        <v>518</v>
      </c>
      <c r="I45" t="s">
        <v>519</v>
      </c>
    </row>
    <row r="46" spans="1:9" x14ac:dyDescent="0.3">
      <c r="A46" s="2" t="s">
        <v>513</v>
      </c>
      <c r="B46" s="13" cm="1">
        <f t="array" ref="B46">(100%-B48)*INDEX($C$40:$C$43,B49,1)</f>
        <v>0.51193420416233093</v>
      </c>
      <c r="C46" s="13" cm="1">
        <f t="array" ref="C46">(100%-C48)*INDEX($C$40:$C$43,C49,1)</f>
        <v>0.51193420416233093</v>
      </c>
      <c r="D46" s="13" cm="1">
        <f t="array" ref="D46">(100%-D48)*INDEX($C$40:$C$43,D49,1)</f>
        <v>0.75</v>
      </c>
      <c r="E46" s="13" cm="1">
        <f t="array" ref="E46">(100%-E48)*INDEX($C$40:$C$43,E49,1)</f>
        <v>0.75</v>
      </c>
      <c r="F46" s="13" cm="1">
        <f t="array" ref="F46">(100%-F48)*INDEX($C$40:$C$43,F49,1)</f>
        <v>0.22982094239964496</v>
      </c>
      <c r="G46" s="13" cm="1">
        <f t="array" ref="G46">(100%-G48)*INDEX($C$40:$C$43,G49,1)</f>
        <v>0.22982094239964496</v>
      </c>
      <c r="H46" s="13" cm="1">
        <f t="array" ref="H46">(100%-H48)*INDEX($C$40:$C$43,H49,1)</f>
        <v>0.22196770678608813</v>
      </c>
      <c r="I46" s="11">
        <v>0.75</v>
      </c>
    </row>
    <row r="47" spans="1:9" x14ac:dyDescent="0.3">
      <c r="A47" s="2" t="s">
        <v>514</v>
      </c>
      <c r="B47" s="13">
        <f>100%-B46-B48</f>
        <v>0.23806579583766907</v>
      </c>
      <c r="C47" s="13">
        <f t="shared" ref="C47:H47" si="5">100%-C46-C48</f>
        <v>0.23806579583766907</v>
      </c>
      <c r="D47" s="13">
        <f t="shared" si="5"/>
        <v>0</v>
      </c>
      <c r="E47" s="13">
        <f t="shared" si="5"/>
        <v>0</v>
      </c>
      <c r="F47" s="13">
        <f t="shared" si="5"/>
        <v>0.5201790576003551</v>
      </c>
      <c r="G47" s="13">
        <f t="shared" si="5"/>
        <v>0.5201790576003551</v>
      </c>
      <c r="H47" s="13">
        <f t="shared" si="5"/>
        <v>0.52803229321391187</v>
      </c>
      <c r="I47" s="11">
        <v>0</v>
      </c>
    </row>
    <row r="48" spans="1:9" x14ac:dyDescent="0.3">
      <c r="B48" s="11">
        <f>$I$48</f>
        <v>0.25</v>
      </c>
      <c r="C48" s="11">
        <f t="shared" ref="C48:H48" si="6">$I$48</f>
        <v>0.25</v>
      </c>
      <c r="D48" s="11">
        <f t="shared" si="6"/>
        <v>0.25</v>
      </c>
      <c r="E48" s="11">
        <f t="shared" si="6"/>
        <v>0.25</v>
      </c>
      <c r="F48" s="11">
        <f t="shared" si="6"/>
        <v>0.25</v>
      </c>
      <c r="G48" s="11">
        <f t="shared" si="6"/>
        <v>0.25</v>
      </c>
      <c r="H48" s="11">
        <f t="shared" si="6"/>
        <v>0.25</v>
      </c>
      <c r="I48" s="11">
        <f>100%-I46</f>
        <v>0.25</v>
      </c>
    </row>
    <row r="49" spans="1:8" x14ac:dyDescent="0.3">
      <c r="B49">
        <v>1</v>
      </c>
      <c r="C49">
        <v>1</v>
      </c>
      <c r="D49">
        <v>2</v>
      </c>
      <c r="E49">
        <v>2</v>
      </c>
      <c r="F49">
        <v>3</v>
      </c>
      <c r="G49">
        <v>3</v>
      </c>
      <c r="H49">
        <v>4</v>
      </c>
    </row>
    <row r="50" spans="1:8" x14ac:dyDescent="0.3">
      <c r="D50">
        <f>MATCH(Pivot!$B$48,Processing!A52:A54,0)</f>
        <v>1</v>
      </c>
    </row>
    <row r="51" spans="1:8" x14ac:dyDescent="0.3">
      <c r="A51" t="s">
        <v>522</v>
      </c>
      <c r="D51">
        <f ca="1">SUM(OFFSET(C51,0,0,D50,1))</f>
        <v>0</v>
      </c>
    </row>
    <row r="52" spans="1:8" x14ac:dyDescent="0.3">
      <c r="A52" s="2" t="s">
        <v>481</v>
      </c>
      <c r="B52">
        <f>GETPIVOTDATA("Order_ID",Pivot!$F$47,"Warehouse",A52)</f>
        <v>103</v>
      </c>
      <c r="C52">
        <f>B52</f>
        <v>103</v>
      </c>
      <c r="D52">
        <f>IF($D$50=1,C52,0)</f>
        <v>103</v>
      </c>
    </row>
    <row r="53" spans="1:8" x14ac:dyDescent="0.3">
      <c r="A53" s="2" t="s">
        <v>483</v>
      </c>
      <c r="B53">
        <f>GETPIVOTDATA("Order_ID",Pivot!$F$47,"Warehouse",A53)</f>
        <v>35</v>
      </c>
      <c r="C53">
        <f t="shared" ref="C53:C54" si="7">B53</f>
        <v>35</v>
      </c>
      <c r="D53">
        <f>IF($D$50=2,C53,0)</f>
        <v>0</v>
      </c>
    </row>
    <row r="54" spans="1:8" x14ac:dyDescent="0.3">
      <c r="A54" s="2" t="s">
        <v>484</v>
      </c>
      <c r="B54">
        <f>GETPIVOTDATA("Order_ID",Pivot!$F$47,"Warehouse",A54)</f>
        <v>58</v>
      </c>
      <c r="C54">
        <f t="shared" si="7"/>
        <v>58</v>
      </c>
      <c r="D54">
        <f>IF($D$50=3,C54,0)</f>
        <v>0</v>
      </c>
    </row>
    <row r="55" spans="1:8" x14ac:dyDescent="0.3">
      <c r="A55" cm="1">
        <f t="array" ref="A55">INDEX(B52:B54,D50)</f>
        <v>103</v>
      </c>
      <c r="D55">
        <f ca="1">SUM(B52:B54)-SUM(D51:D54)</f>
        <v>93</v>
      </c>
    </row>
    <row r="58" spans="1:8" x14ac:dyDescent="0.3">
      <c r="A58" t="s">
        <v>523</v>
      </c>
      <c r="B58" t="s">
        <v>524</v>
      </c>
      <c r="C58" t="s">
        <v>512</v>
      </c>
    </row>
    <row r="59" spans="1:8" x14ac:dyDescent="0.3">
      <c r="A59" s="2" t="s">
        <v>477</v>
      </c>
      <c r="B59">
        <f>GETPIVOTDATA("Order_ID",Pivot!$F$37,"Transport_Mode",A59)</f>
        <v>39</v>
      </c>
      <c r="C59" s="13">
        <f>B59/$B$63</f>
        <v>0.37864077669902912</v>
      </c>
    </row>
    <row r="60" spans="1:8" x14ac:dyDescent="0.3">
      <c r="A60" s="2" t="s">
        <v>478</v>
      </c>
      <c r="B60">
        <f>GETPIVOTDATA("Order_ID",Pivot!$F$37,"Transport_Mode",A60)</f>
        <v>21</v>
      </c>
      <c r="C60" s="13">
        <f t="shared" ref="C60:C62" si="8">B60/$B$63</f>
        <v>0.20388349514563106</v>
      </c>
    </row>
    <row r="61" spans="1:8" x14ac:dyDescent="0.3">
      <c r="A61" s="2" t="s">
        <v>479</v>
      </c>
      <c r="B61">
        <f>GETPIVOTDATA("Order_ID",Pivot!$F$37,"Transport_Mode",A61)</f>
        <v>7</v>
      </c>
      <c r="C61" s="13">
        <f t="shared" si="8"/>
        <v>6.7961165048543687E-2</v>
      </c>
    </row>
    <row r="62" spans="1:8" x14ac:dyDescent="0.3">
      <c r="A62" s="2" t="s">
        <v>480</v>
      </c>
      <c r="B62">
        <f>GETPIVOTDATA("Order_ID",Pivot!$F$37,"Transport_Mode",A62)</f>
        <v>36</v>
      </c>
      <c r="C62" s="13">
        <f t="shared" si="8"/>
        <v>0.34951456310679613</v>
      </c>
    </row>
    <row r="63" spans="1:8" x14ac:dyDescent="0.3">
      <c r="B63" s="6">
        <f>SUM(B59:B62)</f>
        <v>103</v>
      </c>
    </row>
    <row r="66" spans="1:8" x14ac:dyDescent="0.3">
      <c r="C66">
        <f>MAX(B68:B70)*4%</f>
        <v>1.96</v>
      </c>
    </row>
    <row r="67" spans="1:8" x14ac:dyDescent="0.3">
      <c r="A67" t="s">
        <v>526</v>
      </c>
      <c r="B67" t="s">
        <v>525</v>
      </c>
      <c r="C67" t="s">
        <v>508</v>
      </c>
      <c r="D67" t="s">
        <v>503</v>
      </c>
    </row>
    <row r="68" spans="1:8" x14ac:dyDescent="0.3">
      <c r="A68" s="2" t="s">
        <v>476</v>
      </c>
      <c r="B68">
        <f>GETPIVOTDATA("Order_ID",Pivot!$B$28,"Status",A68)</f>
        <v>36</v>
      </c>
      <c r="C68">
        <f>$C$66</f>
        <v>1.96</v>
      </c>
      <c r="D68" s="19">
        <f>GETPIVOTDATA("Sum of Quantity",Pivot!$B$28,"Status",A68)</f>
        <v>3456</v>
      </c>
      <c r="E68" s="13"/>
    </row>
    <row r="69" spans="1:8" x14ac:dyDescent="0.3">
      <c r="A69" s="2" t="s">
        <v>475</v>
      </c>
      <c r="B69">
        <f>GETPIVOTDATA("Order_ID",Pivot!$B$28,"Status",A69)</f>
        <v>49</v>
      </c>
      <c r="C69">
        <f t="shared" ref="C69:C70" si="9">$C$66</f>
        <v>1.96</v>
      </c>
      <c r="D69" s="19">
        <f>GETPIVOTDATA("Sum of Quantity",Pivot!$B$28,"Status",A69)</f>
        <v>4143</v>
      </c>
      <c r="E69" s="13"/>
    </row>
    <row r="70" spans="1:8" x14ac:dyDescent="0.3">
      <c r="A70" s="2" t="s">
        <v>474</v>
      </c>
      <c r="B70">
        <f>GETPIVOTDATA("Order_ID",Pivot!$B$28,"Status",A70)</f>
        <v>18</v>
      </c>
      <c r="C70">
        <f t="shared" si="9"/>
        <v>1.96</v>
      </c>
      <c r="D70" s="19">
        <f>GETPIVOTDATA("Sum of Quantity",Pivot!$B$28,"Status",A70)</f>
        <v>1684</v>
      </c>
      <c r="E70" s="13"/>
    </row>
    <row r="71" spans="1:8" x14ac:dyDescent="0.3">
      <c r="A71" s="2"/>
      <c r="B71" s="6">
        <f>SUM(B68:B70)</f>
        <v>103</v>
      </c>
    </row>
    <row r="75" spans="1:8" x14ac:dyDescent="0.3">
      <c r="C75" t="str">
        <f>Pivot!C12</f>
        <v>2024</v>
      </c>
      <c r="F75" cm="1">
        <f t="array" ref="F75">MAX(IFERROR(B77:E88,0))*5%</f>
        <v>0.8</v>
      </c>
    </row>
    <row r="76" spans="1:8" x14ac:dyDescent="0.3">
      <c r="A76" t="s">
        <v>528</v>
      </c>
      <c r="B76">
        <v>2023</v>
      </c>
      <c r="C76" t="s">
        <v>507</v>
      </c>
      <c r="D76">
        <v>2024</v>
      </c>
      <c r="E76" t="s">
        <v>506</v>
      </c>
      <c r="F76" t="s">
        <v>508</v>
      </c>
      <c r="G76" t="s">
        <v>529</v>
      </c>
      <c r="H76" t="s">
        <v>530</v>
      </c>
    </row>
    <row r="77" spans="1:8" x14ac:dyDescent="0.3">
      <c r="A77" s="2" t="s">
        <v>462</v>
      </c>
      <c r="B77" t="e">
        <f>IF(INT($C$75)=$B$76,GETPIVOTDATA("Order_ID",Pivot!$G$11,"Months (Order_Date)",A77,"Years (Order_Date)",$B$76),NA())</f>
        <v>#N/A</v>
      </c>
      <c r="C77" s="14" t="e">
        <f>IFERROR(IF(INT($C$75)=$B$76,GETPIVOTDATA("Order_ID",Pivot!$B$11,"Months (Order_Date)",A77,"Years (Order_Date)",$B$76),NA()),NA())</f>
        <v>#N/A</v>
      </c>
      <c r="D77">
        <f>IF(INT($C$75)=$D$76,GETPIVOTDATA("Order_ID",Pivot!$G$11,"Months (Order_Date)",A77,"Years (Order_Date)",$D$76),NA())</f>
        <v>9</v>
      </c>
      <c r="E77" t="e">
        <f>IF(INT($C$75)=$D$76,IFERROR(GETPIVOTDATA("Order_ID",Pivot!$B$11,"Months (Order_Date)",A77,"Years (Order_Date)",$D$76),NA()),NA())</f>
        <v>#N/A</v>
      </c>
      <c r="F77">
        <f>$F$75</f>
        <v>0.8</v>
      </c>
      <c r="G77" t="e">
        <f>IF(ISERROR(IF(INT($C$75)=$B$76,C77,E77)),NA(),F77)</f>
        <v>#N/A</v>
      </c>
      <c r="H77" t="e" cm="1">
        <f t="array" ref="H77:H88">INDEX(($C$77:$C$88,$E$77:$E$88),0,1,MATCH(INT(C75),A91:A92,0))</f>
        <v>#N/A</v>
      </c>
    </row>
    <row r="78" spans="1:8" x14ac:dyDescent="0.3">
      <c r="A78" s="2" t="s">
        <v>463</v>
      </c>
      <c r="B78" t="e">
        <f>IF(INT($C$75)=$B$76,GETPIVOTDATA("Order_ID",Pivot!$G$11,"Months (Order_Date)",A78,"Years (Order_Date)",$B$76),NA())</f>
        <v>#N/A</v>
      </c>
      <c r="C78" s="14" t="e">
        <f>IFERROR(IF(INT($C$75)=$B$76,GETPIVOTDATA("Order_ID",Pivot!$B$11,"Months (Order_Date)",A78,"Years (Order_Date)",$B$76),NA()),NA())</f>
        <v>#N/A</v>
      </c>
      <c r="D78">
        <f>IF(INT($C$75)=$D$76,GETPIVOTDATA("Order_ID",Pivot!$G$11,"Months (Order_Date)",A78,"Years (Order_Date)",$D$76),NA())</f>
        <v>12</v>
      </c>
      <c r="E78" t="e">
        <f>IF(INT($C$75)=$D$76,IFERROR(GETPIVOTDATA("Order_ID",Pivot!$B$11,"Months (Order_Date)",A78,"Years (Order_Date)",$D$76),NA()),NA())</f>
        <v>#N/A</v>
      </c>
      <c r="F78">
        <f t="shared" ref="F78:F88" si="10">$F$75</f>
        <v>0.8</v>
      </c>
      <c r="G78" t="e">
        <f t="shared" ref="G78:G88" si="11">IF(ISERROR(IF(INT($C$75)=$B$76,C78,E78)),NA(),F78)</f>
        <v>#N/A</v>
      </c>
      <c r="H78" t="e">
        <v>#N/A</v>
      </c>
    </row>
    <row r="79" spans="1:8" x14ac:dyDescent="0.3">
      <c r="A79" s="2" t="s">
        <v>464</v>
      </c>
      <c r="B79" t="e">
        <f>IF(INT($C$75)=$B$76,GETPIVOTDATA("Order_ID",Pivot!$G$11,"Months (Order_Date)",A79,"Years (Order_Date)",$B$76),NA())</f>
        <v>#N/A</v>
      </c>
      <c r="C79" s="14" t="e">
        <f>IFERROR(IF(INT($C$75)=$B$76,GETPIVOTDATA("Order_ID",Pivot!$B$11,"Months (Order_Date)",A79,"Years (Order_Date)",$B$76),NA()),NA())</f>
        <v>#N/A</v>
      </c>
      <c r="D79">
        <f>IF(INT($C$75)=$D$76,GETPIVOTDATA("Order_ID",Pivot!$G$11,"Months (Order_Date)",A79,"Years (Order_Date)",$D$76),NA())</f>
        <v>12</v>
      </c>
      <c r="E79">
        <f>IF(INT($C$75)=$D$76,IFERROR(GETPIVOTDATA("Order_ID",Pivot!$B$11,"Months (Order_Date)",A79,"Years (Order_Date)",$D$76),NA()),NA())</f>
        <v>12</v>
      </c>
      <c r="F79">
        <f t="shared" si="10"/>
        <v>0.8</v>
      </c>
      <c r="G79">
        <f t="shared" si="11"/>
        <v>0.8</v>
      </c>
      <c r="H79">
        <v>12</v>
      </c>
    </row>
    <row r="80" spans="1:8" x14ac:dyDescent="0.3">
      <c r="A80" s="2" t="s">
        <v>465</v>
      </c>
      <c r="B80" t="e">
        <f>IF(INT($C$75)=$B$76,GETPIVOTDATA("Order_ID",Pivot!$G$11,"Months (Order_Date)",A80,"Years (Order_Date)",$B$76),NA())</f>
        <v>#N/A</v>
      </c>
      <c r="C80" s="14" t="e">
        <f>IFERROR(IF(INT($C$75)=$B$76,GETPIVOTDATA("Order_ID",Pivot!$B$11,"Months (Order_Date)",A80,"Years (Order_Date)",$B$76),NA()),NA())</f>
        <v>#N/A</v>
      </c>
      <c r="D80">
        <f>IF(INT($C$75)=$D$76,GETPIVOTDATA("Order_ID",Pivot!$G$11,"Months (Order_Date)",A80,"Years (Order_Date)",$D$76),NA())</f>
        <v>15</v>
      </c>
      <c r="E80">
        <f>IF(INT($C$75)=$D$76,IFERROR(GETPIVOTDATA("Order_ID",Pivot!$B$11,"Months (Order_Date)",A80,"Years (Order_Date)",$D$76),NA()),NA())</f>
        <v>15</v>
      </c>
      <c r="F80">
        <f t="shared" si="10"/>
        <v>0.8</v>
      </c>
      <c r="G80">
        <f t="shared" si="11"/>
        <v>0.8</v>
      </c>
      <c r="H80">
        <v>15</v>
      </c>
    </row>
    <row r="81" spans="1:8" x14ac:dyDescent="0.3">
      <c r="A81" s="2" t="s">
        <v>466</v>
      </c>
      <c r="B81" t="e">
        <f>IF(INT($C$75)=$B$76,GETPIVOTDATA("Order_ID",Pivot!$G$11,"Months (Order_Date)",A81,"Years (Order_Date)",$B$76),NA())</f>
        <v>#N/A</v>
      </c>
      <c r="C81" s="14" t="e">
        <f>IFERROR(IF(INT($C$75)=$B$76,GETPIVOTDATA("Order_ID",Pivot!$B$11,"Months (Order_Date)",A81,"Years (Order_Date)",$B$76),NA()),NA())</f>
        <v>#N/A</v>
      </c>
      <c r="D81">
        <f>IF(INT($C$75)=$D$76,GETPIVOTDATA("Order_ID",Pivot!$G$11,"Months (Order_Date)",A81,"Years (Order_Date)",$D$76),NA())</f>
        <v>8</v>
      </c>
      <c r="E81">
        <f>IF(INT($C$75)=$D$76,IFERROR(GETPIVOTDATA("Order_ID",Pivot!$B$11,"Months (Order_Date)",A81,"Years (Order_Date)",$D$76),NA()),NA())</f>
        <v>8</v>
      </c>
      <c r="F81">
        <f t="shared" si="10"/>
        <v>0.8</v>
      </c>
      <c r="G81">
        <f t="shared" si="11"/>
        <v>0.8</v>
      </c>
      <c r="H81">
        <v>8</v>
      </c>
    </row>
    <row r="82" spans="1:8" x14ac:dyDescent="0.3">
      <c r="A82" s="2" t="s">
        <v>467</v>
      </c>
      <c r="B82" t="e">
        <f>IF(INT($C$75)=$B$76,GETPIVOTDATA("Order_ID",Pivot!$G$11,"Months (Order_Date)",A82,"Years (Order_Date)",$B$76),NA())</f>
        <v>#N/A</v>
      </c>
      <c r="C82" s="14" t="e">
        <f>IFERROR(IF(INT($C$75)=$B$76,GETPIVOTDATA("Order_ID",Pivot!$B$11,"Months (Order_Date)",A82,"Years (Order_Date)",$B$76),NA()),NA())</f>
        <v>#N/A</v>
      </c>
      <c r="D82">
        <f>IF(INT($C$75)=$D$76,GETPIVOTDATA("Order_ID",Pivot!$G$11,"Months (Order_Date)",A82,"Years (Order_Date)",$D$76),NA())</f>
        <v>7</v>
      </c>
      <c r="E82">
        <f>IF(INT($C$75)=$D$76,IFERROR(GETPIVOTDATA("Order_ID",Pivot!$B$11,"Months (Order_Date)",A82,"Years (Order_Date)",$D$76),NA()),NA())</f>
        <v>7</v>
      </c>
      <c r="F82">
        <f t="shared" si="10"/>
        <v>0.8</v>
      </c>
      <c r="G82">
        <f t="shared" si="11"/>
        <v>0.8</v>
      </c>
      <c r="H82">
        <v>7</v>
      </c>
    </row>
    <row r="83" spans="1:8" x14ac:dyDescent="0.3">
      <c r="A83" s="2" t="s">
        <v>468</v>
      </c>
      <c r="B83" t="e">
        <f>IF(INT($C$75)=$B$76,GETPIVOTDATA("Order_ID",Pivot!$G$11,"Months (Order_Date)",A83,"Years (Order_Date)",$B$76),NA())</f>
        <v>#N/A</v>
      </c>
      <c r="C83" s="14" t="e">
        <f>IFERROR(IF(INT($C$75)=$B$76,GETPIVOTDATA("Order_ID",Pivot!$B$11,"Months (Order_Date)",A83,"Years (Order_Date)",$B$76),NA()),NA())</f>
        <v>#N/A</v>
      </c>
      <c r="D83">
        <f>IF(INT($C$75)=$D$76,GETPIVOTDATA("Order_ID",Pivot!$G$11,"Months (Order_Date)",A83,"Years (Order_Date)",$D$76),NA())</f>
        <v>7</v>
      </c>
      <c r="E83">
        <f>IF(INT($C$75)=$D$76,IFERROR(GETPIVOTDATA("Order_ID",Pivot!$B$11,"Months (Order_Date)",A83,"Years (Order_Date)",$D$76),NA()),NA())</f>
        <v>7</v>
      </c>
      <c r="F83">
        <f t="shared" si="10"/>
        <v>0.8</v>
      </c>
      <c r="G83">
        <f t="shared" si="11"/>
        <v>0.8</v>
      </c>
      <c r="H83">
        <v>7</v>
      </c>
    </row>
    <row r="84" spans="1:8" x14ac:dyDescent="0.3">
      <c r="A84" s="2" t="s">
        <v>469</v>
      </c>
      <c r="B84" t="e">
        <f>IF(INT($C$75)=$B$76,GETPIVOTDATA("Order_ID",Pivot!$G$11,"Months (Order_Date)",A84,"Years (Order_Date)",$B$76),NA())</f>
        <v>#N/A</v>
      </c>
      <c r="C84" s="14" t="e">
        <f>IFERROR(IF(INT($C$75)=$B$76,GETPIVOTDATA("Order_ID",Pivot!$B$11,"Months (Order_Date)",A84,"Years (Order_Date)",$B$76),NA()),NA())</f>
        <v>#N/A</v>
      </c>
      <c r="D84">
        <f>IF(INT($C$75)=$D$76,GETPIVOTDATA("Order_ID",Pivot!$G$11,"Months (Order_Date)",A84,"Years (Order_Date)",$D$76),NA())</f>
        <v>14</v>
      </c>
      <c r="E84">
        <f>IF(INT($C$75)=$D$76,IFERROR(GETPIVOTDATA("Order_ID",Pivot!$B$11,"Months (Order_Date)",A84,"Years (Order_Date)",$D$76),NA()),NA())</f>
        <v>14</v>
      </c>
      <c r="F84">
        <f t="shared" si="10"/>
        <v>0.8</v>
      </c>
      <c r="G84">
        <f t="shared" si="11"/>
        <v>0.8</v>
      </c>
      <c r="H84">
        <v>14</v>
      </c>
    </row>
    <row r="85" spans="1:8" x14ac:dyDescent="0.3">
      <c r="A85" s="2" t="s">
        <v>470</v>
      </c>
      <c r="B85" t="e">
        <f>IF(INT($C$75)=$B$76,GETPIVOTDATA("Order_ID",Pivot!$G$11,"Months (Order_Date)",A85,"Years (Order_Date)",$B$76),NA())</f>
        <v>#N/A</v>
      </c>
      <c r="C85" s="14" t="e">
        <f>IFERROR(IF(INT($C$75)=$B$76,GETPIVOTDATA("Order_ID",Pivot!$B$11,"Months (Order_Date)",A85,"Years (Order_Date)",$B$76),NA()),NA())</f>
        <v>#N/A</v>
      </c>
      <c r="D85">
        <f>IF(INT($C$75)=$D$76,GETPIVOTDATA("Order_ID",Pivot!$G$11,"Months (Order_Date)",A85,"Years (Order_Date)",$D$76),NA())</f>
        <v>15</v>
      </c>
      <c r="E85">
        <f>IF(INT($C$75)=$D$76,IFERROR(GETPIVOTDATA("Order_ID",Pivot!$B$11,"Months (Order_Date)",A85,"Years (Order_Date)",$D$76),NA()),NA())</f>
        <v>15</v>
      </c>
      <c r="F85">
        <f t="shared" si="10"/>
        <v>0.8</v>
      </c>
      <c r="G85">
        <f t="shared" si="11"/>
        <v>0.8</v>
      </c>
      <c r="H85">
        <v>15</v>
      </c>
    </row>
    <row r="86" spans="1:8" x14ac:dyDescent="0.3">
      <c r="A86" s="2" t="s">
        <v>471</v>
      </c>
      <c r="B86" t="e">
        <f>IF(INT($C$75)=$B$76,GETPIVOTDATA("Order_ID",Pivot!$G$11,"Months (Order_Date)",A86,"Years (Order_Date)",$B$76),NA())</f>
        <v>#N/A</v>
      </c>
      <c r="C86" s="14" t="e">
        <f>IFERROR(IF(INT($C$75)=$B$76,GETPIVOTDATA("Order_ID",Pivot!$B$11,"Months (Order_Date)",A86,"Years (Order_Date)",$B$76),NA()),NA())</f>
        <v>#N/A</v>
      </c>
      <c r="D86">
        <f>IF(INT($C$75)=$D$76,GETPIVOTDATA("Order_ID",Pivot!$G$11,"Months (Order_Date)",A86,"Years (Order_Date)",$D$76),NA())</f>
        <v>16</v>
      </c>
      <c r="E86">
        <f>IF(INT($C$75)=$D$76,IFERROR(GETPIVOTDATA("Order_ID",Pivot!$B$11,"Months (Order_Date)",A86,"Years (Order_Date)",$D$76),NA()),NA())</f>
        <v>16</v>
      </c>
      <c r="F86">
        <f t="shared" si="10"/>
        <v>0.8</v>
      </c>
      <c r="G86">
        <f t="shared" si="11"/>
        <v>0.8</v>
      </c>
      <c r="H86">
        <v>16</v>
      </c>
    </row>
    <row r="87" spans="1:8" x14ac:dyDescent="0.3">
      <c r="A87" s="2" t="s">
        <v>472</v>
      </c>
      <c r="B87" t="e">
        <f>IF(INT($C$75)=$B$76,GETPIVOTDATA("Order_ID",Pivot!$G$11,"Months (Order_Date)",A87,"Years (Order_Date)",$B$76),NA())</f>
        <v>#N/A</v>
      </c>
      <c r="C87" s="14" t="e">
        <f>IFERROR(IF(INT($C$75)=$B$76,GETPIVOTDATA("Order_ID",Pivot!$B$11,"Months (Order_Date)",A87,"Years (Order_Date)",$B$76),NA()),NA())</f>
        <v>#N/A</v>
      </c>
      <c r="D87">
        <f>IF(INT($C$75)=$D$76,GETPIVOTDATA("Order_ID",Pivot!$G$11,"Months (Order_Date)",A87,"Years (Order_Date)",$D$76),NA())</f>
        <v>9</v>
      </c>
      <c r="E87">
        <f>IF(INT($C$75)=$D$76,IFERROR(GETPIVOTDATA("Order_ID",Pivot!$B$11,"Months (Order_Date)",A87,"Years (Order_Date)",$D$76),NA()),NA())</f>
        <v>9</v>
      </c>
      <c r="F87">
        <f t="shared" si="10"/>
        <v>0.8</v>
      </c>
      <c r="G87">
        <f t="shared" si="11"/>
        <v>0.8</v>
      </c>
      <c r="H87">
        <v>9</v>
      </c>
    </row>
    <row r="88" spans="1:8" x14ac:dyDescent="0.3">
      <c r="A88" s="2" t="s">
        <v>473</v>
      </c>
      <c r="B88" t="e">
        <f>IF(INT($C$75)=$B$76,GETPIVOTDATA("Order_ID",Pivot!$G$11,"Months (Order_Date)",A88,"Years (Order_Date)",$B$76),NA())</f>
        <v>#N/A</v>
      </c>
      <c r="C88" s="14" t="e">
        <f>IFERROR(IF(INT($C$75)=$B$76,GETPIVOTDATA("Order_ID",Pivot!$B$11,"Months (Order_Date)",A88,"Years (Order_Date)",$B$76),NA()),NA())</f>
        <v>#N/A</v>
      </c>
      <c r="D88">
        <f>IF(INT($C$75)=$D$76,GETPIVOTDATA("Order_ID",Pivot!$G$11,"Months (Order_Date)",A88,"Years (Order_Date)",$D$76),NA())</f>
        <v>8</v>
      </c>
      <c r="E88" t="e">
        <f>IF(INT($C$75)=$D$76,IFERROR(GETPIVOTDATA("Order_ID",Pivot!$B$11,"Months (Order_Date)",A88,"Years (Order_Date)",$D$76),NA()),NA())</f>
        <v>#N/A</v>
      </c>
      <c r="F88">
        <f t="shared" si="10"/>
        <v>0.8</v>
      </c>
      <c r="G88" t="e">
        <f t="shared" si="11"/>
        <v>#N/A</v>
      </c>
      <c r="H88" t="e">
        <v>#N/A</v>
      </c>
    </row>
    <row r="89" spans="1:8" x14ac:dyDescent="0.3">
      <c r="B89" s="6" t="str">
        <f>C75</f>
        <v>2024</v>
      </c>
      <c r="C89" s="6" cm="1">
        <f t="array" ref="C89">SUM(IFERROR(INDEX((C77:C88,E77:E88),0,1,MATCH(INT(C75),A91:A92,0)),""))</f>
        <v>103</v>
      </c>
    </row>
    <row r="91" spans="1:8" x14ac:dyDescent="0.3">
      <c r="A91">
        <v>2023</v>
      </c>
    </row>
    <row r="92" spans="1:8" x14ac:dyDescent="0.3">
      <c r="A92">
        <v>2024</v>
      </c>
    </row>
    <row r="95" spans="1:8" x14ac:dyDescent="0.3">
      <c r="A95" t="s">
        <v>531</v>
      </c>
    </row>
    <row r="96" spans="1:8" x14ac:dyDescent="0.3">
      <c r="A96" s="2" t="s">
        <v>460</v>
      </c>
      <c r="B96" s="19">
        <f>GETPIVOTDATA("Sum of Quantity",Pivot!$F$64,"Years (Order_Date)",A96)</f>
        <v>8070</v>
      </c>
    </row>
    <row r="97" spans="1:3" x14ac:dyDescent="0.3">
      <c r="A97" s="2" t="s">
        <v>461</v>
      </c>
      <c r="B97" s="19">
        <f>GETPIVOTDATA("Sum of Quantity",Pivot!$F$64,"Years (Order_Date)",A97)</f>
        <v>9283</v>
      </c>
      <c r="C97" s="21">
        <f>(B97-B96)/B96</f>
        <v>0.1503097893432466</v>
      </c>
    </row>
    <row r="99" spans="1:3" x14ac:dyDescent="0.3">
      <c r="B99" t="s">
        <v>532</v>
      </c>
      <c r="C99" t="s">
        <v>533</v>
      </c>
    </row>
    <row r="100" spans="1:3" x14ac:dyDescent="0.3">
      <c r="B100" s="21">
        <f>IF(C97&gt;0,C97,"")</f>
        <v>0.1503097893432466</v>
      </c>
      <c r="C100" s="21" t="str">
        <f>IF(C97&lt;0,C97,"")</f>
        <v/>
      </c>
    </row>
    <row r="103" spans="1:3" x14ac:dyDescent="0.3">
      <c r="A103" t="s">
        <v>537</v>
      </c>
      <c r="B103" t="s">
        <v>503</v>
      </c>
      <c r="C103" t="s">
        <v>512</v>
      </c>
    </row>
    <row r="104" spans="1:3" x14ac:dyDescent="0.3">
      <c r="A104" s="2" t="s">
        <v>534</v>
      </c>
      <c r="B104" s="19">
        <f>GETPIVOTDATA("Quantity",Pivot!$B$89,"Category",A104)</f>
        <v>7540</v>
      </c>
      <c r="C104" s="11">
        <f>B104/$B$107</f>
        <v>0.33612696148359489</v>
      </c>
    </row>
    <row r="105" spans="1:3" x14ac:dyDescent="0.3">
      <c r="A105" s="2" t="s">
        <v>535</v>
      </c>
      <c r="B105" s="19">
        <f>GETPIVOTDATA("Quantity",Pivot!$B$89,"Category",A105)</f>
        <v>8166</v>
      </c>
      <c r="C105" s="11">
        <f t="shared" ref="C105:C106" si="12">B105/$B$107</f>
        <v>0.36403352353780316</v>
      </c>
    </row>
    <row r="106" spans="1:3" x14ac:dyDescent="0.3">
      <c r="A106" s="2" t="s">
        <v>536</v>
      </c>
      <c r="B106" s="19">
        <f>GETPIVOTDATA("Quantity",Pivot!$B$89,"Category",A106)</f>
        <v>6726</v>
      </c>
      <c r="C106" s="11">
        <f t="shared" si="12"/>
        <v>0.29983951497860201</v>
      </c>
    </row>
    <row r="107" spans="1:3" x14ac:dyDescent="0.3">
      <c r="B107" s="16">
        <f>SUMIF(B104:B106,"&gt;0")</f>
        <v>22432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0724A-4555-4FC9-9032-F175E324A61E}">
  <dimension ref="A1:AR113"/>
  <sheetViews>
    <sheetView showGridLines="0" showRowColHeaders="0" zoomScale="112" zoomScaleNormal="112" workbookViewId="0"/>
  </sheetViews>
  <sheetFormatPr defaultRowHeight="14.4" x14ac:dyDescent="0.3"/>
  <sheetData>
    <row r="1" spans="1:44"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row>
    <row r="2" spans="1:44"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row>
    <row r="3" spans="1:44"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row>
    <row r="4" spans="1:44"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row>
    <row r="5" spans="1:44"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row>
    <row r="6" spans="1:44"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row>
    <row r="7" spans="1:44"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row>
    <row r="8" spans="1:44"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row>
    <row r="9" spans="1:44"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row>
    <row r="10" spans="1:44"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row>
    <row r="11" spans="1:44"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row>
    <row r="12" spans="1:44"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row>
    <row r="13" spans="1:44"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row>
    <row r="14" spans="1:44"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row>
    <row r="15" spans="1:44"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row>
    <row r="16" spans="1:44"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row>
    <row r="17" spans="1:44"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row>
    <row r="18" spans="1:44"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row>
    <row r="19" spans="1:44"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row>
    <row r="20" spans="1:44"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row>
    <row r="21" spans="1:44"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row>
    <row r="22" spans="1:44"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row>
    <row r="23" spans="1:44"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row>
    <row r="24" spans="1:44"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row>
    <row r="25" spans="1:44"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row>
    <row r="26" spans="1:44"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row>
    <row r="27" spans="1:44"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row>
    <row r="28" spans="1:44"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row>
    <row r="29" spans="1:44"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row>
    <row r="30" spans="1:44"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row>
    <row r="31" spans="1:44"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row>
    <row r="32" spans="1:44"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row>
    <row r="33" spans="1:44"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row>
    <row r="34" spans="1:44"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row>
    <row r="35" spans="1:44"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row>
    <row r="36" spans="1:44"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row>
    <row r="37" spans="1:44"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row>
    <row r="38" spans="1:44"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row>
    <row r="39" spans="1:44"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row>
    <row r="40" spans="1:44"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row>
    <row r="41" spans="1:44"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row>
    <row r="42" spans="1:44"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row>
    <row r="43" spans="1:44"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row>
    <row r="44" spans="1:44"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row>
    <row r="45" spans="1:44"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row>
    <row r="46" spans="1:44"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row>
    <row r="47" spans="1:44"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row>
    <row r="48" spans="1:44"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row>
    <row r="49" spans="1:44"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row>
    <row r="50" spans="1:44"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row>
    <row r="51" spans="1:44"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row>
    <row r="52" spans="1:44"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row>
    <row r="53" spans="1:44"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row>
    <row r="54" spans="1:44"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row>
    <row r="55" spans="1:44"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row>
    <row r="56" spans="1:44"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row>
    <row r="57" spans="1:44" x14ac:dyDescent="0.3">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row>
    <row r="58" spans="1:44" x14ac:dyDescent="0.3">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row>
    <row r="59" spans="1:44"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row>
    <row r="60" spans="1:44" x14ac:dyDescent="0.3">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row>
    <row r="61" spans="1:44" x14ac:dyDescent="0.3">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row>
    <row r="62" spans="1:44" x14ac:dyDescent="0.3">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row>
    <row r="63" spans="1:44" x14ac:dyDescent="0.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row>
    <row r="64" spans="1:44" x14ac:dyDescent="0.3">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row>
    <row r="65" spans="1:44" x14ac:dyDescent="0.3">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row>
    <row r="66" spans="1:44" x14ac:dyDescent="0.3">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row>
    <row r="67" spans="1:44" x14ac:dyDescent="0.3">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row>
    <row r="68" spans="1:44" x14ac:dyDescent="0.3">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row>
    <row r="69" spans="1:44" x14ac:dyDescent="0.3">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row>
    <row r="70" spans="1:44" x14ac:dyDescent="0.3">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row>
    <row r="71" spans="1:44" x14ac:dyDescent="0.3">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row>
    <row r="72" spans="1:44" x14ac:dyDescent="0.3">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row>
    <row r="73" spans="1:44" x14ac:dyDescent="0.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row>
    <row r="74" spans="1:44" x14ac:dyDescent="0.3">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row>
    <row r="75" spans="1:44" x14ac:dyDescent="0.3">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row>
    <row r="76" spans="1:44" x14ac:dyDescent="0.3">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row>
    <row r="77" spans="1:44" x14ac:dyDescent="0.3">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row>
    <row r="78" spans="1:44" x14ac:dyDescent="0.3">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row>
    <row r="79" spans="1:44" x14ac:dyDescent="0.3">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row>
    <row r="80" spans="1:44" x14ac:dyDescent="0.3">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row>
    <row r="81" spans="1:44" x14ac:dyDescent="0.3">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row>
    <row r="82" spans="1:44" x14ac:dyDescent="0.3">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row>
    <row r="83" spans="1:44" x14ac:dyDescent="0.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row>
    <row r="84" spans="1:44" x14ac:dyDescent="0.3">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row>
    <row r="85" spans="1:44" x14ac:dyDescent="0.3">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row>
    <row r="86" spans="1:44" x14ac:dyDescent="0.3">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row>
    <row r="87" spans="1:44" x14ac:dyDescent="0.3">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row>
    <row r="88" spans="1:44" x14ac:dyDescent="0.3">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row>
    <row r="89" spans="1:44" x14ac:dyDescent="0.3">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row>
    <row r="90" spans="1:44" x14ac:dyDescent="0.3">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row>
    <row r="91" spans="1:44" x14ac:dyDescent="0.3">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row>
    <row r="92" spans="1:44" x14ac:dyDescent="0.3">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row>
    <row r="93" spans="1:44" x14ac:dyDescent="0.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row>
    <row r="94" spans="1:44" x14ac:dyDescent="0.3">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row>
    <row r="95" spans="1:44" x14ac:dyDescent="0.3">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row>
    <row r="96" spans="1:44" x14ac:dyDescent="0.3">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row>
    <row r="97" spans="1:44" x14ac:dyDescent="0.3">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row>
    <row r="98" spans="1:44" x14ac:dyDescent="0.3">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row>
    <row r="99" spans="1:44" x14ac:dyDescent="0.3">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row>
    <row r="100" spans="1:44"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row>
    <row r="101" spans="1:44" x14ac:dyDescent="0.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row>
    <row r="102" spans="1:44" x14ac:dyDescent="0.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row>
    <row r="103" spans="1:44" x14ac:dyDescent="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row>
    <row r="104" spans="1:44" x14ac:dyDescent="0.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row>
    <row r="105" spans="1:44" x14ac:dyDescent="0.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row>
    <row r="106" spans="1:44" x14ac:dyDescent="0.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row>
    <row r="107" spans="1:44" x14ac:dyDescent="0.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row>
    <row r="108" spans="1:44" x14ac:dyDescent="0.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row>
    <row r="109" spans="1:44" x14ac:dyDescent="0.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row>
    <row r="110" spans="1:44" x14ac:dyDescent="0.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row>
    <row r="111" spans="1:44" x14ac:dyDescent="0.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row>
    <row r="112" spans="1:44" x14ac:dyDescent="0.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row>
    <row r="113" spans="1:44" x14ac:dyDescent="0.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D272E-FADF-4183-876B-D9DE07015379}">
  <dimension ref="A1:V477"/>
  <sheetViews>
    <sheetView showGridLines="0" showRowColHeaders="0" zoomScale="130" zoomScaleNormal="130" workbookViewId="0"/>
  </sheetViews>
  <sheetFormatPr defaultRowHeight="14.4" x14ac:dyDescent="0.3"/>
  <cols>
    <col min="1" max="1" width="3.109375" customWidth="1"/>
    <col min="2" max="2" width="10.77734375" bestFit="1" customWidth="1"/>
    <col min="3" max="3" width="9.88671875" bestFit="1" customWidth="1"/>
    <col min="4" max="4" width="10.77734375" bestFit="1" customWidth="1"/>
    <col min="5" max="5" width="10.109375" bestFit="1" customWidth="1"/>
    <col min="6" max="6" width="10" bestFit="1" customWidth="1"/>
    <col min="7" max="7" width="12.88671875" bestFit="1" customWidth="1"/>
    <col min="8" max="8" width="11.77734375" bestFit="1" customWidth="1"/>
    <col min="9" max="9" width="14.88671875" bestFit="1" customWidth="1"/>
    <col min="10" max="10" width="10.5546875" bestFit="1" customWidth="1"/>
    <col min="11" max="11" width="11.88671875" bestFit="1" customWidth="1"/>
    <col min="12" max="12" width="12.109375" bestFit="1" customWidth="1"/>
    <col min="13" max="13" width="12.77734375" bestFit="1" customWidth="1"/>
    <col min="14" max="14" width="17.44140625" bestFit="1" customWidth="1"/>
    <col min="16" max="16" width="12.88671875" bestFit="1" customWidth="1"/>
  </cols>
  <sheetData>
    <row r="1" spans="1:22" x14ac:dyDescent="0.3">
      <c r="A1" s="23"/>
      <c r="B1" s="23"/>
      <c r="C1" s="23"/>
      <c r="D1" s="23"/>
      <c r="E1" s="23"/>
      <c r="F1" s="23"/>
      <c r="G1" s="23"/>
      <c r="H1" s="23"/>
      <c r="I1" s="23"/>
      <c r="J1" s="23"/>
      <c r="K1" s="23"/>
      <c r="L1" s="23"/>
      <c r="M1" s="23"/>
      <c r="N1" s="23"/>
      <c r="O1" s="23"/>
      <c r="P1" s="23"/>
      <c r="Q1" s="23"/>
      <c r="R1" s="23"/>
      <c r="S1" s="23"/>
      <c r="T1" s="23"/>
      <c r="U1" s="23"/>
      <c r="V1" s="23"/>
    </row>
    <row r="2" spans="1:22" x14ac:dyDescent="0.3">
      <c r="A2" s="23"/>
      <c r="B2" s="23"/>
      <c r="C2" s="23"/>
      <c r="D2" s="23"/>
      <c r="E2" s="23"/>
      <c r="F2" s="23"/>
      <c r="G2" s="23"/>
      <c r="H2" s="23"/>
      <c r="I2" s="23"/>
      <c r="J2" s="23"/>
      <c r="K2" s="23"/>
      <c r="L2" s="23"/>
      <c r="M2" s="23"/>
      <c r="N2" s="23"/>
      <c r="O2" s="23"/>
      <c r="P2" s="23"/>
      <c r="Q2" s="23"/>
      <c r="R2" s="23"/>
      <c r="S2" s="23"/>
      <c r="T2" s="23"/>
      <c r="U2" s="23"/>
      <c r="V2" s="23"/>
    </row>
    <row r="3" spans="1:22" x14ac:dyDescent="0.3">
      <c r="A3" s="23"/>
      <c r="B3" s="23"/>
      <c r="C3" s="23"/>
      <c r="D3" s="23"/>
      <c r="E3" s="23"/>
      <c r="F3" s="23"/>
      <c r="G3" s="23"/>
      <c r="H3" s="23"/>
      <c r="I3" s="23"/>
      <c r="J3" s="23"/>
      <c r="K3" s="23"/>
      <c r="L3" s="23"/>
      <c r="M3" s="23"/>
      <c r="N3" s="23"/>
      <c r="O3" s="23"/>
      <c r="P3" s="23"/>
      <c r="Q3" s="23"/>
      <c r="R3" s="23"/>
      <c r="S3" s="23"/>
      <c r="T3" s="23"/>
      <c r="U3" s="23"/>
      <c r="V3" s="23"/>
    </row>
    <row r="4" spans="1:22" x14ac:dyDescent="0.3">
      <c r="A4" s="23"/>
      <c r="B4" s="23"/>
      <c r="C4" s="23"/>
      <c r="D4" s="23"/>
      <c r="E4" s="23"/>
      <c r="F4" s="23"/>
      <c r="G4" s="23"/>
      <c r="H4" s="23"/>
      <c r="I4" s="23"/>
      <c r="J4" s="23"/>
      <c r="K4" s="23"/>
      <c r="L4" s="23"/>
      <c r="M4" s="23"/>
      <c r="N4" s="23"/>
      <c r="O4" s="23"/>
      <c r="P4" s="23"/>
      <c r="Q4" s="23"/>
      <c r="R4" s="23"/>
      <c r="S4" s="23"/>
      <c r="T4" s="23"/>
      <c r="U4" s="23"/>
      <c r="V4" s="23"/>
    </row>
    <row r="5" spans="1:22" x14ac:dyDescent="0.3">
      <c r="A5" s="23"/>
      <c r="B5" s="34" t="s">
        <v>544</v>
      </c>
      <c r="C5" s="35" t="s">
        <v>545</v>
      </c>
      <c r="D5" s="35" t="s">
        <v>546</v>
      </c>
      <c r="E5" s="35" t="s">
        <v>547</v>
      </c>
      <c r="F5" s="35" t="s">
        <v>548</v>
      </c>
      <c r="G5" s="35" t="s">
        <v>549</v>
      </c>
      <c r="H5" s="35" t="s">
        <v>550</v>
      </c>
      <c r="I5" s="35" t="s">
        <v>551</v>
      </c>
      <c r="J5" s="35" t="s">
        <v>552</v>
      </c>
      <c r="K5" s="35" t="s">
        <v>553</v>
      </c>
      <c r="L5" s="35" t="s">
        <v>554</v>
      </c>
      <c r="M5" s="35" t="s">
        <v>521</v>
      </c>
      <c r="N5" s="35" t="s">
        <v>555</v>
      </c>
      <c r="O5" s="35" t="s">
        <v>556</v>
      </c>
      <c r="P5" s="36" t="s">
        <v>557</v>
      </c>
      <c r="Q5" s="23"/>
      <c r="R5" s="23"/>
      <c r="S5" s="23"/>
      <c r="T5" s="23"/>
      <c r="U5" s="23"/>
      <c r="V5" s="23"/>
    </row>
    <row r="6" spans="1:22" x14ac:dyDescent="0.3">
      <c r="A6" s="23"/>
      <c r="B6" s="24" t="s">
        <v>1</v>
      </c>
      <c r="C6" s="25" t="s">
        <v>494</v>
      </c>
      <c r="D6" s="25" t="s">
        <v>535</v>
      </c>
      <c r="E6" s="25" t="s">
        <v>490</v>
      </c>
      <c r="F6" s="25" t="s">
        <v>485</v>
      </c>
      <c r="G6" s="26">
        <v>45071</v>
      </c>
      <c r="H6" s="26">
        <v>45204</v>
      </c>
      <c r="I6" s="26">
        <v>45148</v>
      </c>
      <c r="J6" s="27">
        <v>311</v>
      </c>
      <c r="K6" s="27">
        <v>67552.31</v>
      </c>
      <c r="L6" s="27">
        <v>1946.57</v>
      </c>
      <c r="M6" s="25" t="s">
        <v>481</v>
      </c>
      <c r="N6" s="25" t="s">
        <v>480</v>
      </c>
      <c r="O6" s="25" t="s">
        <v>475</v>
      </c>
      <c r="P6" s="28">
        <v>18</v>
      </c>
      <c r="Q6" s="23"/>
      <c r="R6" s="23"/>
      <c r="S6" s="23"/>
      <c r="T6" s="23"/>
      <c r="U6" s="23"/>
      <c r="V6" s="23"/>
    </row>
    <row r="7" spans="1:22" x14ac:dyDescent="0.3">
      <c r="A7" s="23"/>
      <c r="B7" s="24" t="s">
        <v>2</v>
      </c>
      <c r="C7" s="25" t="s">
        <v>493</v>
      </c>
      <c r="D7" s="25" t="s">
        <v>536</v>
      </c>
      <c r="E7" s="25" t="s">
        <v>492</v>
      </c>
      <c r="F7" s="25" t="s">
        <v>486</v>
      </c>
      <c r="G7" s="26">
        <v>45464</v>
      </c>
      <c r="H7" s="26">
        <v>45159</v>
      </c>
      <c r="I7" s="26">
        <v>45120</v>
      </c>
      <c r="J7" s="27">
        <v>328</v>
      </c>
      <c r="K7" s="27">
        <v>6376.3200000000006</v>
      </c>
      <c r="L7" s="27">
        <v>1303.72</v>
      </c>
      <c r="M7" s="25" t="s">
        <v>483</v>
      </c>
      <c r="N7" s="25" t="s">
        <v>480</v>
      </c>
      <c r="O7" s="25" t="s">
        <v>475</v>
      </c>
      <c r="P7" s="28">
        <v>20</v>
      </c>
      <c r="Q7" s="23"/>
      <c r="R7" s="23"/>
      <c r="S7" s="23"/>
      <c r="T7" s="23"/>
      <c r="U7" s="23"/>
      <c r="V7" s="23"/>
    </row>
    <row r="8" spans="1:22" x14ac:dyDescent="0.3">
      <c r="A8" s="23"/>
      <c r="B8" s="24" t="s">
        <v>3</v>
      </c>
      <c r="C8" s="25" t="s">
        <v>493</v>
      </c>
      <c r="D8" s="25" t="s">
        <v>536</v>
      </c>
      <c r="E8" s="25" t="s">
        <v>490</v>
      </c>
      <c r="F8" s="25" t="s">
        <v>488</v>
      </c>
      <c r="G8" s="26">
        <v>45574</v>
      </c>
      <c r="H8" s="26">
        <v>45293</v>
      </c>
      <c r="I8" s="26">
        <v>45347</v>
      </c>
      <c r="J8" s="27">
        <v>684</v>
      </c>
      <c r="K8" s="27">
        <v>166239.35999999999</v>
      </c>
      <c r="L8" s="27">
        <v>4262.18</v>
      </c>
      <c r="M8" s="25" t="s">
        <v>481</v>
      </c>
      <c r="N8" s="25" t="s">
        <v>478</v>
      </c>
      <c r="O8" s="25" t="s">
        <v>476</v>
      </c>
      <c r="P8" s="28">
        <v>7</v>
      </c>
      <c r="Q8" s="23"/>
      <c r="R8" s="23"/>
      <c r="S8" s="23"/>
      <c r="T8" s="23"/>
      <c r="U8" s="23"/>
      <c r="V8" s="23"/>
    </row>
    <row r="9" spans="1:22" x14ac:dyDescent="0.3">
      <c r="A9" s="23"/>
      <c r="B9" s="24" t="s">
        <v>4</v>
      </c>
      <c r="C9" s="25" t="s">
        <v>493</v>
      </c>
      <c r="D9" s="25" t="s">
        <v>536</v>
      </c>
      <c r="E9" s="25" t="s">
        <v>490</v>
      </c>
      <c r="F9" s="25" t="s">
        <v>487</v>
      </c>
      <c r="G9" s="26">
        <v>45229</v>
      </c>
      <c r="H9" s="26">
        <v>45155</v>
      </c>
      <c r="I9" s="26">
        <v>45605</v>
      </c>
      <c r="J9" s="27">
        <v>210</v>
      </c>
      <c r="K9" s="27">
        <v>69909</v>
      </c>
      <c r="L9" s="27">
        <v>7763.68</v>
      </c>
      <c r="M9" s="25" t="s">
        <v>481</v>
      </c>
      <c r="N9" s="25" t="s">
        <v>479</v>
      </c>
      <c r="O9" s="25" t="s">
        <v>475</v>
      </c>
      <c r="P9" s="28">
        <v>0</v>
      </c>
      <c r="Q9" s="23"/>
      <c r="R9" s="23"/>
      <c r="S9" s="23"/>
      <c r="T9" s="23"/>
      <c r="U9" s="23"/>
      <c r="V9" s="23"/>
    </row>
    <row r="10" spans="1:22" x14ac:dyDescent="0.3">
      <c r="A10" s="23"/>
      <c r="B10" s="24" t="s">
        <v>4</v>
      </c>
      <c r="C10" s="25" t="s">
        <v>496</v>
      </c>
      <c r="D10" s="25" t="s">
        <v>536</v>
      </c>
      <c r="E10" s="25" t="s">
        <v>490</v>
      </c>
      <c r="F10" s="25" t="s">
        <v>488</v>
      </c>
      <c r="G10" s="26">
        <v>45514</v>
      </c>
      <c r="H10" s="26">
        <v>45578</v>
      </c>
      <c r="I10" s="26">
        <v>45622</v>
      </c>
      <c r="J10" s="27">
        <v>72</v>
      </c>
      <c r="K10" s="27">
        <v>4583.5199999999995</v>
      </c>
      <c r="L10" s="27">
        <v>8896.82</v>
      </c>
      <c r="M10" s="25" t="s">
        <v>481</v>
      </c>
      <c r="N10" s="25" t="s">
        <v>479</v>
      </c>
      <c r="O10" s="25" t="s">
        <v>475</v>
      </c>
      <c r="P10" s="28">
        <v>27</v>
      </c>
      <c r="Q10" s="23"/>
      <c r="R10" s="23"/>
      <c r="S10" s="23"/>
      <c r="T10" s="23"/>
      <c r="U10" s="23"/>
      <c r="V10" s="23"/>
    </row>
    <row r="11" spans="1:22" x14ac:dyDescent="0.3">
      <c r="A11" s="23"/>
      <c r="B11" s="24" t="s">
        <v>5</v>
      </c>
      <c r="C11" s="25" t="s">
        <v>493</v>
      </c>
      <c r="D11" s="25" t="s">
        <v>536</v>
      </c>
      <c r="E11" s="25" t="s">
        <v>492</v>
      </c>
      <c r="F11" s="25" t="s">
        <v>486</v>
      </c>
      <c r="G11" s="26">
        <v>45271</v>
      </c>
      <c r="H11" s="26">
        <v>45363</v>
      </c>
      <c r="I11" s="26">
        <v>45476</v>
      </c>
      <c r="J11" s="27">
        <v>672</v>
      </c>
      <c r="K11" s="27">
        <v>99456</v>
      </c>
      <c r="L11" s="27">
        <v>7263.81</v>
      </c>
      <c r="M11" s="25" t="s">
        <v>482</v>
      </c>
      <c r="N11" s="25" t="s">
        <v>477</v>
      </c>
      <c r="O11" s="25" t="s">
        <v>475</v>
      </c>
      <c r="P11" s="28">
        <v>16</v>
      </c>
      <c r="Q11" s="23"/>
      <c r="R11" s="23"/>
      <c r="S11" s="23"/>
      <c r="T11" s="23"/>
      <c r="U11" s="23"/>
      <c r="V11" s="23"/>
    </row>
    <row r="12" spans="1:22" x14ac:dyDescent="0.3">
      <c r="A12" s="23"/>
      <c r="B12" s="24" t="s">
        <v>6</v>
      </c>
      <c r="C12" s="25" t="s">
        <v>493</v>
      </c>
      <c r="D12" s="25" t="s">
        <v>536</v>
      </c>
      <c r="E12" s="25" t="s">
        <v>492</v>
      </c>
      <c r="F12" s="25" t="s">
        <v>486</v>
      </c>
      <c r="G12" s="26">
        <v>44927</v>
      </c>
      <c r="H12" s="26">
        <v>45326</v>
      </c>
      <c r="I12" s="26">
        <v>44971</v>
      </c>
      <c r="J12" s="27">
        <v>653</v>
      </c>
      <c r="K12" s="27">
        <v>131860.29</v>
      </c>
      <c r="L12" s="27">
        <v>2527.64</v>
      </c>
      <c r="M12" s="25" t="s">
        <v>483</v>
      </c>
      <c r="N12" s="25" t="s">
        <v>477</v>
      </c>
      <c r="O12" s="25" t="s">
        <v>475</v>
      </c>
      <c r="P12" s="28">
        <v>6</v>
      </c>
      <c r="Q12" s="23"/>
      <c r="R12" s="23"/>
      <c r="S12" s="23"/>
      <c r="T12" s="23"/>
      <c r="U12" s="23"/>
      <c r="V12" s="23"/>
    </row>
    <row r="13" spans="1:22" x14ac:dyDescent="0.3">
      <c r="A13" s="23"/>
      <c r="B13" s="24" t="s">
        <v>7</v>
      </c>
      <c r="C13" s="25" t="s">
        <v>493</v>
      </c>
      <c r="D13" s="25" t="s">
        <v>536</v>
      </c>
      <c r="E13" s="25" t="s">
        <v>492</v>
      </c>
      <c r="F13" s="25" t="s">
        <v>486</v>
      </c>
      <c r="G13" s="26">
        <v>45073</v>
      </c>
      <c r="H13" s="26">
        <v>45138</v>
      </c>
      <c r="I13" s="26">
        <v>45237</v>
      </c>
      <c r="J13" s="27">
        <v>499</v>
      </c>
      <c r="K13" s="27">
        <v>229624.83000000002</v>
      </c>
      <c r="L13" s="27">
        <v>9029.01</v>
      </c>
      <c r="M13" s="25" t="s">
        <v>484</v>
      </c>
      <c r="N13" s="25" t="s">
        <v>477</v>
      </c>
      <c r="O13" s="25" t="s">
        <v>475</v>
      </c>
      <c r="P13" s="28">
        <v>13</v>
      </c>
      <c r="Q13" s="23"/>
      <c r="R13" s="23"/>
      <c r="S13" s="23"/>
      <c r="T13" s="23"/>
      <c r="U13" s="23"/>
      <c r="V13" s="23"/>
    </row>
    <row r="14" spans="1:22" x14ac:dyDescent="0.3">
      <c r="A14" s="23"/>
      <c r="B14" s="24" t="s">
        <v>8</v>
      </c>
      <c r="C14" s="25" t="s">
        <v>493</v>
      </c>
      <c r="D14" s="25" t="s">
        <v>536</v>
      </c>
      <c r="E14" s="25" t="s">
        <v>492</v>
      </c>
      <c r="F14" s="25" t="s">
        <v>485</v>
      </c>
      <c r="G14" s="26">
        <v>45213</v>
      </c>
      <c r="H14" s="26">
        <v>45318</v>
      </c>
      <c r="I14" s="26">
        <v>45268</v>
      </c>
      <c r="J14" s="27">
        <v>571</v>
      </c>
      <c r="K14" s="27">
        <v>283592.86</v>
      </c>
      <c r="L14" s="27">
        <v>1738.8</v>
      </c>
      <c r="M14" s="25" t="s">
        <v>484</v>
      </c>
      <c r="N14" s="25" t="s">
        <v>477</v>
      </c>
      <c r="O14" s="25" t="s">
        <v>475</v>
      </c>
      <c r="P14" s="28">
        <v>20</v>
      </c>
      <c r="Q14" s="23"/>
      <c r="R14" s="23"/>
      <c r="S14" s="23"/>
      <c r="T14" s="23"/>
      <c r="U14" s="23"/>
      <c r="V14" s="23"/>
    </row>
    <row r="15" spans="1:22" x14ac:dyDescent="0.3">
      <c r="A15" s="23"/>
      <c r="B15" s="24" t="s">
        <v>9</v>
      </c>
      <c r="C15" s="25" t="s">
        <v>494</v>
      </c>
      <c r="D15" s="25" t="s">
        <v>534</v>
      </c>
      <c r="E15" s="25" t="s">
        <v>492</v>
      </c>
      <c r="F15" s="25" t="s">
        <v>485</v>
      </c>
      <c r="G15" s="26">
        <v>45580</v>
      </c>
      <c r="H15" s="26">
        <v>45426</v>
      </c>
      <c r="I15" s="26">
        <v>45244</v>
      </c>
      <c r="J15" s="27">
        <v>308</v>
      </c>
      <c r="K15" s="27">
        <v>8386.84</v>
      </c>
      <c r="L15" s="27">
        <v>9211.36</v>
      </c>
      <c r="M15" s="25" t="s">
        <v>481</v>
      </c>
      <c r="N15" s="25" t="s">
        <v>480</v>
      </c>
      <c r="O15" s="25" t="s">
        <v>475</v>
      </c>
      <c r="P15" s="28">
        <v>29</v>
      </c>
      <c r="Q15" s="23"/>
      <c r="R15" s="23"/>
      <c r="S15" s="23"/>
      <c r="T15" s="23"/>
      <c r="U15" s="23"/>
      <c r="V15" s="23"/>
    </row>
    <row r="16" spans="1:22" x14ac:dyDescent="0.3">
      <c r="A16" s="23"/>
      <c r="B16" s="24" t="s">
        <v>10</v>
      </c>
      <c r="C16" s="25" t="s">
        <v>493</v>
      </c>
      <c r="D16" s="25" t="s">
        <v>536</v>
      </c>
      <c r="E16" s="25" t="s">
        <v>492</v>
      </c>
      <c r="F16" s="25" t="s">
        <v>488</v>
      </c>
      <c r="G16" s="26">
        <v>44979</v>
      </c>
      <c r="H16" s="26">
        <v>45467</v>
      </c>
      <c r="I16" s="26">
        <v>45005</v>
      </c>
      <c r="J16" s="27">
        <v>412</v>
      </c>
      <c r="K16" s="27">
        <v>157260.4</v>
      </c>
      <c r="L16" s="27">
        <v>9700.77</v>
      </c>
      <c r="M16" s="25" t="s">
        <v>481</v>
      </c>
      <c r="N16" s="25" t="s">
        <v>480</v>
      </c>
      <c r="O16" s="25" t="s">
        <v>476</v>
      </c>
      <c r="P16" s="28">
        <v>20</v>
      </c>
      <c r="Q16" s="23"/>
      <c r="R16" s="23"/>
      <c r="S16" s="23"/>
      <c r="T16" s="23"/>
      <c r="U16" s="23"/>
      <c r="V16" s="23"/>
    </row>
    <row r="17" spans="1:22" x14ac:dyDescent="0.3">
      <c r="A17" s="23"/>
      <c r="B17" s="24" t="s">
        <v>11</v>
      </c>
      <c r="C17" s="25" t="s">
        <v>495</v>
      </c>
      <c r="D17" s="25" t="s">
        <v>535</v>
      </c>
      <c r="E17" s="25" t="s">
        <v>491</v>
      </c>
      <c r="F17" s="25" t="s">
        <v>487</v>
      </c>
      <c r="G17" s="26">
        <v>45230</v>
      </c>
      <c r="H17" s="26">
        <v>45490</v>
      </c>
      <c r="I17" s="26">
        <v>45209</v>
      </c>
      <c r="J17" s="27">
        <v>536</v>
      </c>
      <c r="K17" s="27">
        <v>101304</v>
      </c>
      <c r="L17" s="27">
        <v>6465.22</v>
      </c>
      <c r="M17" s="25" t="s">
        <v>481</v>
      </c>
      <c r="N17" s="25" t="s">
        <v>477</v>
      </c>
      <c r="O17" s="25" t="s">
        <v>476</v>
      </c>
      <c r="P17" s="28">
        <v>16</v>
      </c>
      <c r="Q17" s="23"/>
      <c r="R17" s="23"/>
      <c r="S17" s="23"/>
      <c r="T17" s="23"/>
      <c r="U17" s="23"/>
      <c r="V17" s="23"/>
    </row>
    <row r="18" spans="1:22" x14ac:dyDescent="0.3">
      <c r="A18" s="23"/>
      <c r="B18" s="24" t="s">
        <v>11</v>
      </c>
      <c r="C18" s="25" t="s">
        <v>495</v>
      </c>
      <c r="D18" s="25" t="s">
        <v>535</v>
      </c>
      <c r="E18" s="25" t="s">
        <v>490</v>
      </c>
      <c r="F18" s="25" t="s">
        <v>487</v>
      </c>
      <c r="G18" s="26">
        <v>44995</v>
      </c>
      <c r="H18" s="26">
        <v>45418</v>
      </c>
      <c r="I18" s="26">
        <v>45106</v>
      </c>
      <c r="J18" s="27">
        <v>146</v>
      </c>
      <c r="K18" s="27">
        <v>29093.420000000002</v>
      </c>
      <c r="L18" s="27">
        <v>6688.76</v>
      </c>
      <c r="M18" s="25" t="s">
        <v>481</v>
      </c>
      <c r="N18" s="25" t="s">
        <v>477</v>
      </c>
      <c r="O18" s="25" t="s">
        <v>474</v>
      </c>
      <c r="P18" s="28">
        <v>8</v>
      </c>
      <c r="Q18" s="23"/>
      <c r="R18" s="23"/>
      <c r="S18" s="23"/>
      <c r="T18" s="23"/>
      <c r="U18" s="23"/>
      <c r="V18" s="23"/>
    </row>
    <row r="19" spans="1:22" x14ac:dyDescent="0.3">
      <c r="A19" s="23"/>
      <c r="B19" s="24" t="s">
        <v>12</v>
      </c>
      <c r="C19" s="25" t="s">
        <v>496</v>
      </c>
      <c r="D19" s="25" t="s">
        <v>535</v>
      </c>
      <c r="E19" s="25" t="s">
        <v>490</v>
      </c>
      <c r="F19" s="25" t="s">
        <v>485</v>
      </c>
      <c r="G19" s="26">
        <v>45287</v>
      </c>
      <c r="H19" s="26">
        <v>45369</v>
      </c>
      <c r="I19" s="26">
        <v>45592</v>
      </c>
      <c r="J19" s="27">
        <v>201</v>
      </c>
      <c r="K19" s="27">
        <v>76050.36</v>
      </c>
      <c r="L19" s="27">
        <v>8183.21</v>
      </c>
      <c r="M19" s="25" t="s">
        <v>483</v>
      </c>
      <c r="N19" s="25" t="s">
        <v>477</v>
      </c>
      <c r="O19" s="25" t="s">
        <v>474</v>
      </c>
      <c r="P19" s="28">
        <v>16</v>
      </c>
      <c r="Q19" s="23"/>
      <c r="R19" s="23"/>
      <c r="S19" s="23"/>
      <c r="T19" s="23"/>
      <c r="U19" s="23"/>
      <c r="V19" s="23"/>
    </row>
    <row r="20" spans="1:22" x14ac:dyDescent="0.3">
      <c r="A20" s="23"/>
      <c r="B20" s="24" t="s">
        <v>13</v>
      </c>
      <c r="C20" s="25" t="s">
        <v>494</v>
      </c>
      <c r="D20" s="25" t="s">
        <v>535</v>
      </c>
      <c r="E20" s="25" t="s">
        <v>490</v>
      </c>
      <c r="F20" s="25" t="s">
        <v>486</v>
      </c>
      <c r="G20" s="26">
        <v>45528</v>
      </c>
      <c r="H20" s="26">
        <v>45188</v>
      </c>
      <c r="I20" s="26">
        <v>45203</v>
      </c>
      <c r="J20" s="27">
        <v>619</v>
      </c>
      <c r="K20" s="27">
        <v>284504.78000000003</v>
      </c>
      <c r="L20" s="27">
        <v>5403.33</v>
      </c>
      <c r="M20" s="25" t="s">
        <v>482</v>
      </c>
      <c r="N20" s="25" t="s">
        <v>478</v>
      </c>
      <c r="O20" s="25" t="s">
        <v>474</v>
      </c>
      <c r="P20" s="28">
        <v>4</v>
      </c>
      <c r="Q20" s="23"/>
      <c r="R20" s="23"/>
      <c r="S20" s="23"/>
      <c r="T20" s="23"/>
      <c r="U20" s="23"/>
      <c r="V20" s="23"/>
    </row>
    <row r="21" spans="1:22" x14ac:dyDescent="0.3">
      <c r="A21" s="23"/>
      <c r="B21" s="24" t="s">
        <v>14</v>
      </c>
      <c r="C21" s="25" t="s">
        <v>495</v>
      </c>
      <c r="D21" s="25" t="s">
        <v>536</v>
      </c>
      <c r="E21" s="25" t="s">
        <v>491</v>
      </c>
      <c r="F21" s="25" t="s">
        <v>488</v>
      </c>
      <c r="G21" s="26">
        <v>45146</v>
      </c>
      <c r="H21" s="26">
        <v>45277</v>
      </c>
      <c r="I21" s="26">
        <v>45550</v>
      </c>
      <c r="J21" s="27">
        <v>506</v>
      </c>
      <c r="K21" s="27">
        <v>240709.25999999998</v>
      </c>
      <c r="L21" s="27">
        <v>4262.18</v>
      </c>
      <c r="M21" s="25" t="s">
        <v>481</v>
      </c>
      <c r="N21" s="25" t="s">
        <v>478</v>
      </c>
      <c r="O21" s="25" t="s">
        <v>476</v>
      </c>
      <c r="P21" s="28">
        <v>25</v>
      </c>
      <c r="Q21" s="23"/>
      <c r="R21" s="23"/>
      <c r="S21" s="23"/>
      <c r="T21" s="23"/>
      <c r="U21" s="23"/>
      <c r="V21" s="23"/>
    </row>
    <row r="22" spans="1:22" x14ac:dyDescent="0.3">
      <c r="A22" s="23"/>
      <c r="B22" s="24" t="s">
        <v>15</v>
      </c>
      <c r="C22" s="25" t="s">
        <v>495</v>
      </c>
      <c r="D22" s="25" t="s">
        <v>535</v>
      </c>
      <c r="E22" s="25" t="s">
        <v>490</v>
      </c>
      <c r="F22" s="25" t="s">
        <v>488</v>
      </c>
      <c r="G22" s="26">
        <v>45630</v>
      </c>
      <c r="H22" s="26">
        <v>45279</v>
      </c>
      <c r="I22" s="26">
        <v>45581</v>
      </c>
      <c r="J22" s="27">
        <v>211</v>
      </c>
      <c r="K22" s="27">
        <v>61333.48</v>
      </c>
      <c r="L22" s="27">
        <v>2471.8000000000002</v>
      </c>
      <c r="M22" s="25" t="s">
        <v>482</v>
      </c>
      <c r="N22" s="25" t="s">
        <v>478</v>
      </c>
      <c r="O22" s="25" t="s">
        <v>476</v>
      </c>
      <c r="P22" s="28">
        <v>24</v>
      </c>
      <c r="Q22" s="23"/>
      <c r="R22" s="23"/>
      <c r="S22" s="23"/>
      <c r="T22" s="23"/>
      <c r="U22" s="23"/>
      <c r="V22" s="23"/>
    </row>
    <row r="23" spans="1:22" x14ac:dyDescent="0.3">
      <c r="A23" s="23"/>
      <c r="B23" s="24" t="s">
        <v>16</v>
      </c>
      <c r="C23" s="25" t="s">
        <v>496</v>
      </c>
      <c r="D23" s="25" t="s">
        <v>535</v>
      </c>
      <c r="E23" s="25" t="s">
        <v>491</v>
      </c>
      <c r="F23" s="25" t="s">
        <v>488</v>
      </c>
      <c r="G23" s="26">
        <v>45501</v>
      </c>
      <c r="H23" s="26">
        <v>45447</v>
      </c>
      <c r="I23" s="26">
        <v>45219</v>
      </c>
      <c r="J23" s="27">
        <v>281</v>
      </c>
      <c r="K23" s="27">
        <v>51077.37</v>
      </c>
      <c r="L23" s="27">
        <v>1740.32</v>
      </c>
      <c r="M23" s="25" t="s">
        <v>483</v>
      </c>
      <c r="N23" s="25" t="s">
        <v>478</v>
      </c>
      <c r="O23" s="25" t="s">
        <v>476</v>
      </c>
      <c r="P23" s="28">
        <v>29</v>
      </c>
      <c r="Q23" s="23"/>
      <c r="R23" s="23"/>
      <c r="S23" s="23"/>
      <c r="T23" s="23"/>
      <c r="U23" s="23"/>
      <c r="V23" s="23"/>
    </row>
    <row r="24" spans="1:22" x14ac:dyDescent="0.3">
      <c r="A24" s="23"/>
      <c r="B24" s="24" t="s">
        <v>17</v>
      </c>
      <c r="C24" s="25" t="s">
        <v>494</v>
      </c>
      <c r="D24" s="25" t="s">
        <v>534</v>
      </c>
      <c r="E24" s="25" t="s">
        <v>492</v>
      </c>
      <c r="F24" s="25" t="s">
        <v>487</v>
      </c>
      <c r="G24" s="26">
        <v>45087</v>
      </c>
      <c r="H24" s="26">
        <v>45065</v>
      </c>
      <c r="I24" s="26">
        <v>45202</v>
      </c>
      <c r="J24" s="27">
        <v>687</v>
      </c>
      <c r="K24" s="27">
        <v>88794.75</v>
      </c>
      <c r="L24" s="27">
        <v>5346.3</v>
      </c>
      <c r="M24" s="25" t="s">
        <v>483</v>
      </c>
      <c r="N24" s="25" t="s">
        <v>478</v>
      </c>
      <c r="O24" s="25" t="s">
        <v>475</v>
      </c>
      <c r="P24" s="28">
        <v>19</v>
      </c>
      <c r="Q24" s="23"/>
      <c r="R24" s="23"/>
      <c r="S24" s="23"/>
      <c r="T24" s="23"/>
      <c r="U24" s="23"/>
      <c r="V24" s="23"/>
    </row>
    <row r="25" spans="1:22" x14ac:dyDescent="0.3">
      <c r="A25" s="23"/>
      <c r="B25" s="24" t="s">
        <v>18</v>
      </c>
      <c r="C25" s="25" t="s">
        <v>495</v>
      </c>
      <c r="D25" s="25" t="s">
        <v>534</v>
      </c>
      <c r="E25" s="25" t="s">
        <v>490</v>
      </c>
      <c r="F25" s="25" t="s">
        <v>486</v>
      </c>
      <c r="G25" s="26">
        <v>45607</v>
      </c>
      <c r="H25" s="26">
        <v>45477</v>
      </c>
      <c r="I25" s="26">
        <v>44996</v>
      </c>
      <c r="J25" s="27">
        <v>365</v>
      </c>
      <c r="K25" s="27">
        <v>103740.3</v>
      </c>
      <c r="L25" s="27">
        <v>385.08</v>
      </c>
      <c r="M25" s="25" t="s">
        <v>481</v>
      </c>
      <c r="N25" s="25" t="s">
        <v>477</v>
      </c>
      <c r="O25" s="25" t="s">
        <v>476</v>
      </c>
      <c r="P25" s="28">
        <v>28</v>
      </c>
      <c r="Q25" s="23"/>
      <c r="R25" s="23"/>
      <c r="S25" s="23"/>
      <c r="T25" s="23"/>
      <c r="U25" s="23"/>
      <c r="V25" s="23"/>
    </row>
    <row r="26" spans="1:22" x14ac:dyDescent="0.3">
      <c r="A26" s="23"/>
      <c r="B26" s="24" t="s">
        <v>19</v>
      </c>
      <c r="C26" s="25" t="s">
        <v>494</v>
      </c>
      <c r="D26" s="25" t="s">
        <v>536</v>
      </c>
      <c r="E26" s="25" t="s">
        <v>490</v>
      </c>
      <c r="F26" s="25" t="s">
        <v>487</v>
      </c>
      <c r="G26" s="26">
        <v>45015</v>
      </c>
      <c r="H26" s="26">
        <v>45550</v>
      </c>
      <c r="I26" s="26">
        <v>45413</v>
      </c>
      <c r="J26" s="27">
        <v>578</v>
      </c>
      <c r="K26" s="27">
        <v>105485</v>
      </c>
      <c r="L26" s="27">
        <v>1562.88</v>
      </c>
      <c r="M26" s="25" t="s">
        <v>483</v>
      </c>
      <c r="N26" s="25" t="s">
        <v>480</v>
      </c>
      <c r="O26" s="25" t="s">
        <v>476</v>
      </c>
      <c r="P26" s="28">
        <v>7</v>
      </c>
      <c r="Q26" s="23"/>
      <c r="R26" s="23"/>
      <c r="S26" s="23"/>
      <c r="T26" s="23"/>
      <c r="U26" s="23"/>
      <c r="V26" s="23"/>
    </row>
    <row r="27" spans="1:22" x14ac:dyDescent="0.3">
      <c r="A27" s="23"/>
      <c r="B27" s="24" t="s">
        <v>20</v>
      </c>
      <c r="C27" s="25" t="s">
        <v>496</v>
      </c>
      <c r="D27" s="25" t="s">
        <v>534</v>
      </c>
      <c r="E27" s="25" t="s">
        <v>490</v>
      </c>
      <c r="F27" s="25" t="s">
        <v>486</v>
      </c>
      <c r="G27" s="26">
        <v>45614</v>
      </c>
      <c r="H27" s="26">
        <v>45295</v>
      </c>
      <c r="I27" s="26">
        <v>45178</v>
      </c>
      <c r="J27" s="27">
        <v>259</v>
      </c>
      <c r="K27" s="27">
        <v>85477.76999999999</v>
      </c>
      <c r="L27" s="27">
        <v>5040.1000000000004</v>
      </c>
      <c r="M27" s="25" t="s">
        <v>482</v>
      </c>
      <c r="N27" s="25" t="s">
        <v>477</v>
      </c>
      <c r="O27" s="25" t="s">
        <v>475</v>
      </c>
      <c r="P27" s="28">
        <v>5</v>
      </c>
      <c r="Q27" s="23"/>
      <c r="R27" s="23"/>
      <c r="S27" s="23"/>
      <c r="T27" s="23"/>
      <c r="U27" s="23"/>
      <c r="V27" s="23"/>
    </row>
    <row r="28" spans="1:22" x14ac:dyDescent="0.3">
      <c r="A28" s="23"/>
      <c r="B28" s="24" t="s">
        <v>21</v>
      </c>
      <c r="C28" s="25" t="s">
        <v>495</v>
      </c>
      <c r="D28" s="25" t="s">
        <v>534</v>
      </c>
      <c r="E28" s="25" t="s">
        <v>490</v>
      </c>
      <c r="F28" s="25" t="s">
        <v>486</v>
      </c>
      <c r="G28" s="26">
        <v>45511</v>
      </c>
      <c r="H28" s="26">
        <v>45147</v>
      </c>
      <c r="I28" s="26">
        <v>45086</v>
      </c>
      <c r="J28" s="27">
        <v>526</v>
      </c>
      <c r="K28" s="27">
        <v>65224</v>
      </c>
      <c r="L28" s="27">
        <v>3459.32</v>
      </c>
      <c r="M28" s="25" t="s">
        <v>482</v>
      </c>
      <c r="N28" s="25" t="s">
        <v>480</v>
      </c>
      <c r="O28" s="25" t="s">
        <v>475</v>
      </c>
      <c r="P28" s="28">
        <v>10</v>
      </c>
      <c r="Q28" s="23"/>
      <c r="R28" s="23"/>
      <c r="S28" s="23"/>
      <c r="T28" s="23"/>
      <c r="U28" s="23"/>
      <c r="V28" s="23"/>
    </row>
    <row r="29" spans="1:22" x14ac:dyDescent="0.3">
      <c r="A29" s="23"/>
      <c r="B29" s="24" t="s">
        <v>22</v>
      </c>
      <c r="C29" s="25" t="s">
        <v>494</v>
      </c>
      <c r="D29" s="25" t="s">
        <v>535</v>
      </c>
      <c r="E29" s="25" t="s">
        <v>491</v>
      </c>
      <c r="F29" s="25" t="s">
        <v>488</v>
      </c>
      <c r="G29" s="26">
        <v>45085</v>
      </c>
      <c r="H29" s="26">
        <v>45150</v>
      </c>
      <c r="I29" s="26">
        <v>45384</v>
      </c>
      <c r="J29" s="27">
        <v>471</v>
      </c>
      <c r="K29" s="27">
        <v>216438.62999999998</v>
      </c>
      <c r="L29" s="27">
        <v>9082.99</v>
      </c>
      <c r="M29" s="25" t="s">
        <v>481</v>
      </c>
      <c r="N29" s="25" t="s">
        <v>477</v>
      </c>
      <c r="O29" s="25" t="s">
        <v>476</v>
      </c>
      <c r="P29" s="28">
        <v>18</v>
      </c>
      <c r="Q29" s="23"/>
      <c r="R29" s="23"/>
      <c r="S29" s="23"/>
      <c r="T29" s="23"/>
      <c r="U29" s="23"/>
      <c r="V29" s="23"/>
    </row>
    <row r="30" spans="1:22" x14ac:dyDescent="0.3">
      <c r="A30" s="23"/>
      <c r="B30" s="24" t="s">
        <v>23</v>
      </c>
      <c r="C30" s="25" t="s">
        <v>495</v>
      </c>
      <c r="D30" s="25" t="s">
        <v>535</v>
      </c>
      <c r="E30" s="25" t="s">
        <v>491</v>
      </c>
      <c r="F30" s="25" t="s">
        <v>486</v>
      </c>
      <c r="G30" s="26">
        <v>45415</v>
      </c>
      <c r="H30" s="26">
        <v>45575</v>
      </c>
      <c r="I30" s="26">
        <v>45131</v>
      </c>
      <c r="J30" s="27">
        <v>389</v>
      </c>
      <c r="K30" s="27">
        <v>21546.71</v>
      </c>
      <c r="L30" s="27">
        <v>6291.92</v>
      </c>
      <c r="M30" s="25" t="s">
        <v>481</v>
      </c>
      <c r="N30" s="25" t="s">
        <v>479</v>
      </c>
      <c r="O30" s="25" t="s">
        <v>475</v>
      </c>
      <c r="P30" s="28">
        <v>3</v>
      </c>
      <c r="Q30" s="23"/>
      <c r="R30" s="23"/>
      <c r="S30" s="23"/>
      <c r="T30" s="23"/>
      <c r="U30" s="23"/>
      <c r="V30" s="23"/>
    </row>
    <row r="31" spans="1:22" x14ac:dyDescent="0.3">
      <c r="A31" s="23"/>
      <c r="B31" s="24" t="s">
        <v>24</v>
      </c>
      <c r="C31" s="25" t="s">
        <v>495</v>
      </c>
      <c r="D31" s="25" t="s">
        <v>534</v>
      </c>
      <c r="E31" s="25" t="s">
        <v>492</v>
      </c>
      <c r="F31" s="25" t="s">
        <v>486</v>
      </c>
      <c r="G31" s="26">
        <v>45250</v>
      </c>
      <c r="H31" s="26">
        <v>45287</v>
      </c>
      <c r="I31" s="26">
        <v>45590</v>
      </c>
      <c r="J31" s="27">
        <v>265</v>
      </c>
      <c r="K31" s="27">
        <v>67694.25</v>
      </c>
      <c r="L31" s="27">
        <v>7435.42</v>
      </c>
      <c r="M31" s="25" t="s">
        <v>481</v>
      </c>
      <c r="N31" s="25" t="s">
        <v>477</v>
      </c>
      <c r="O31" s="25" t="s">
        <v>475</v>
      </c>
      <c r="P31" s="28">
        <v>17</v>
      </c>
      <c r="Q31" s="23"/>
      <c r="R31" s="23"/>
      <c r="S31" s="23"/>
      <c r="T31" s="23"/>
      <c r="U31" s="23"/>
      <c r="V31" s="23"/>
    </row>
    <row r="32" spans="1:22" x14ac:dyDescent="0.3">
      <c r="A32" s="23"/>
      <c r="B32" s="24" t="s">
        <v>25</v>
      </c>
      <c r="C32" s="25" t="s">
        <v>493</v>
      </c>
      <c r="D32" s="25" t="s">
        <v>534</v>
      </c>
      <c r="E32" s="25" t="s">
        <v>492</v>
      </c>
      <c r="F32" s="25" t="s">
        <v>486</v>
      </c>
      <c r="G32" s="26">
        <v>45536</v>
      </c>
      <c r="H32" s="26">
        <v>45256</v>
      </c>
      <c r="I32" s="26">
        <v>45054</v>
      </c>
      <c r="J32" s="27">
        <v>215</v>
      </c>
      <c r="K32" s="27">
        <v>24578.799999999999</v>
      </c>
      <c r="L32" s="27">
        <v>2998.76</v>
      </c>
      <c r="M32" s="25" t="s">
        <v>481</v>
      </c>
      <c r="N32" s="25" t="s">
        <v>479</v>
      </c>
      <c r="O32" s="25" t="s">
        <v>475</v>
      </c>
      <c r="P32" s="28">
        <v>0</v>
      </c>
      <c r="Q32" s="23"/>
      <c r="R32" s="23"/>
      <c r="S32" s="23"/>
      <c r="T32" s="23"/>
      <c r="U32" s="23"/>
      <c r="V32" s="23"/>
    </row>
    <row r="33" spans="1:22" x14ac:dyDescent="0.3">
      <c r="A33" s="23"/>
      <c r="B33" s="24" t="s">
        <v>26</v>
      </c>
      <c r="C33" s="25" t="s">
        <v>493</v>
      </c>
      <c r="D33" s="25" t="s">
        <v>534</v>
      </c>
      <c r="E33" s="25" t="s">
        <v>492</v>
      </c>
      <c r="F33" s="25" t="s">
        <v>485</v>
      </c>
      <c r="G33" s="26">
        <v>45307</v>
      </c>
      <c r="H33" s="26">
        <v>45390</v>
      </c>
      <c r="I33" s="26">
        <v>44931</v>
      </c>
      <c r="J33" s="27">
        <v>525</v>
      </c>
      <c r="K33" s="27">
        <v>12741.75</v>
      </c>
      <c r="L33" s="27">
        <v>2745.88</v>
      </c>
      <c r="M33" s="25" t="s">
        <v>481</v>
      </c>
      <c r="N33" s="25" t="s">
        <v>479</v>
      </c>
      <c r="O33" s="25" t="s">
        <v>475</v>
      </c>
      <c r="P33" s="28">
        <v>12</v>
      </c>
      <c r="Q33" s="23"/>
      <c r="R33" s="23"/>
      <c r="S33" s="23"/>
      <c r="T33" s="23"/>
      <c r="U33" s="23"/>
      <c r="V33" s="23"/>
    </row>
    <row r="34" spans="1:22" x14ac:dyDescent="0.3">
      <c r="A34" s="23"/>
      <c r="B34" s="24" t="s">
        <v>27</v>
      </c>
      <c r="C34" s="25" t="s">
        <v>496</v>
      </c>
      <c r="D34" s="25" t="s">
        <v>534</v>
      </c>
      <c r="E34" s="25" t="s">
        <v>492</v>
      </c>
      <c r="F34" s="25" t="s">
        <v>488</v>
      </c>
      <c r="G34" s="26">
        <v>45028</v>
      </c>
      <c r="H34" s="26">
        <v>45488</v>
      </c>
      <c r="I34" s="26">
        <v>45570</v>
      </c>
      <c r="J34" s="27">
        <v>178</v>
      </c>
      <c r="K34" s="27">
        <v>4063.74</v>
      </c>
      <c r="L34" s="27">
        <v>3432.72</v>
      </c>
      <c r="M34" s="25" t="s">
        <v>481</v>
      </c>
      <c r="N34" s="25" t="s">
        <v>479</v>
      </c>
      <c r="O34" s="25" t="s">
        <v>475</v>
      </c>
      <c r="P34" s="28">
        <v>13</v>
      </c>
      <c r="Q34" s="23"/>
      <c r="R34" s="23"/>
      <c r="S34" s="23"/>
      <c r="T34" s="23"/>
      <c r="U34" s="23"/>
      <c r="V34" s="23"/>
    </row>
    <row r="35" spans="1:22" x14ac:dyDescent="0.3">
      <c r="A35" s="23"/>
      <c r="B35" s="24" t="s">
        <v>28</v>
      </c>
      <c r="C35" s="25" t="s">
        <v>494</v>
      </c>
      <c r="D35" s="25" t="s">
        <v>534</v>
      </c>
      <c r="E35" s="25" t="s">
        <v>491</v>
      </c>
      <c r="F35" s="25" t="s">
        <v>485</v>
      </c>
      <c r="G35" s="26">
        <v>45420</v>
      </c>
      <c r="H35" s="26">
        <v>45309</v>
      </c>
      <c r="I35" s="26">
        <v>45121</v>
      </c>
      <c r="J35" s="27">
        <v>298</v>
      </c>
      <c r="K35" s="27">
        <v>27335.54</v>
      </c>
      <c r="L35" s="27">
        <v>1716.54</v>
      </c>
      <c r="M35" s="25" t="s">
        <v>481</v>
      </c>
      <c r="N35" s="25" t="s">
        <v>480</v>
      </c>
      <c r="O35" s="25" t="s">
        <v>476</v>
      </c>
      <c r="P35" s="28">
        <v>23</v>
      </c>
      <c r="Q35" s="23"/>
      <c r="R35" s="23"/>
      <c r="S35" s="23"/>
      <c r="T35" s="23"/>
      <c r="U35" s="23"/>
      <c r="V35" s="23"/>
    </row>
    <row r="36" spans="1:22" x14ac:dyDescent="0.3">
      <c r="A36" s="23"/>
      <c r="B36" s="24" t="s">
        <v>29</v>
      </c>
      <c r="C36" s="25" t="s">
        <v>494</v>
      </c>
      <c r="D36" s="25" t="s">
        <v>535</v>
      </c>
      <c r="E36" s="25" t="s">
        <v>490</v>
      </c>
      <c r="F36" s="25" t="s">
        <v>488</v>
      </c>
      <c r="G36" s="26">
        <v>45570</v>
      </c>
      <c r="H36" s="26">
        <v>45517</v>
      </c>
      <c r="I36" s="26">
        <v>45509</v>
      </c>
      <c r="J36" s="27">
        <v>474</v>
      </c>
      <c r="K36" s="27">
        <v>205739.7</v>
      </c>
      <c r="L36" s="27">
        <v>8797.9</v>
      </c>
      <c r="M36" s="25" t="s">
        <v>483</v>
      </c>
      <c r="N36" s="25" t="s">
        <v>477</v>
      </c>
      <c r="O36" s="25" t="s">
        <v>476</v>
      </c>
      <c r="P36" s="28">
        <v>0</v>
      </c>
      <c r="Q36" s="23"/>
      <c r="R36" s="23"/>
      <c r="S36" s="23"/>
      <c r="T36" s="23"/>
      <c r="U36" s="23"/>
      <c r="V36" s="23"/>
    </row>
    <row r="37" spans="1:22" x14ac:dyDescent="0.3">
      <c r="A37" s="23"/>
      <c r="B37" s="24" t="s">
        <v>30</v>
      </c>
      <c r="C37" s="25" t="s">
        <v>495</v>
      </c>
      <c r="D37" s="25" t="s">
        <v>535</v>
      </c>
      <c r="E37" s="25" t="s">
        <v>490</v>
      </c>
      <c r="F37" s="25" t="s">
        <v>485</v>
      </c>
      <c r="G37" s="26">
        <v>45540</v>
      </c>
      <c r="H37" s="26">
        <v>45544</v>
      </c>
      <c r="I37" s="26">
        <v>45446</v>
      </c>
      <c r="J37" s="27">
        <v>202</v>
      </c>
      <c r="K37" s="27">
        <v>29255.660000000003</v>
      </c>
      <c r="L37" s="27">
        <v>6603.68</v>
      </c>
      <c r="M37" s="25" t="s">
        <v>482</v>
      </c>
      <c r="N37" s="25" t="s">
        <v>480</v>
      </c>
      <c r="O37" s="25" t="s">
        <v>475</v>
      </c>
      <c r="P37" s="28">
        <v>29</v>
      </c>
      <c r="Q37" s="23"/>
      <c r="R37" s="23"/>
      <c r="S37" s="23"/>
      <c r="T37" s="23"/>
      <c r="U37" s="23"/>
      <c r="V37" s="23"/>
    </row>
    <row r="38" spans="1:22" x14ac:dyDescent="0.3">
      <c r="A38" s="23"/>
      <c r="B38" s="24" t="s">
        <v>31</v>
      </c>
      <c r="C38" s="25" t="s">
        <v>495</v>
      </c>
      <c r="D38" s="25" t="s">
        <v>536</v>
      </c>
      <c r="E38" s="25" t="s">
        <v>490</v>
      </c>
      <c r="F38" s="25" t="s">
        <v>486</v>
      </c>
      <c r="G38" s="26">
        <v>44945</v>
      </c>
      <c r="H38" s="26">
        <v>45096</v>
      </c>
      <c r="I38" s="26">
        <v>45372</v>
      </c>
      <c r="J38" s="27">
        <v>334</v>
      </c>
      <c r="K38" s="27">
        <v>158810.32</v>
      </c>
      <c r="L38" s="27">
        <v>7781.64</v>
      </c>
      <c r="M38" s="25" t="s">
        <v>482</v>
      </c>
      <c r="N38" s="25" t="s">
        <v>479</v>
      </c>
      <c r="O38" s="25" t="s">
        <v>476</v>
      </c>
      <c r="P38" s="28">
        <v>28</v>
      </c>
      <c r="Q38" s="23"/>
      <c r="R38" s="23"/>
      <c r="S38" s="23"/>
      <c r="T38" s="23"/>
      <c r="U38" s="23"/>
      <c r="V38" s="23"/>
    </row>
    <row r="39" spans="1:22" x14ac:dyDescent="0.3">
      <c r="A39" s="23"/>
      <c r="B39" s="24" t="s">
        <v>32</v>
      </c>
      <c r="C39" s="25" t="s">
        <v>495</v>
      </c>
      <c r="D39" s="25" t="s">
        <v>534</v>
      </c>
      <c r="E39" s="25" t="s">
        <v>490</v>
      </c>
      <c r="F39" s="25" t="s">
        <v>486</v>
      </c>
      <c r="G39" s="26">
        <v>45380</v>
      </c>
      <c r="H39" s="26">
        <v>45144</v>
      </c>
      <c r="I39" s="26">
        <v>45073</v>
      </c>
      <c r="J39" s="27">
        <v>598</v>
      </c>
      <c r="K39" s="27">
        <v>175154.19999999998</v>
      </c>
      <c r="L39" s="27">
        <v>6116.49</v>
      </c>
      <c r="M39" s="25" t="s">
        <v>482</v>
      </c>
      <c r="N39" s="25" t="s">
        <v>477</v>
      </c>
      <c r="O39" s="25" t="s">
        <v>475</v>
      </c>
      <c r="P39" s="28">
        <v>10</v>
      </c>
      <c r="Q39" s="23"/>
      <c r="R39" s="23"/>
      <c r="S39" s="23"/>
      <c r="T39" s="23"/>
      <c r="U39" s="23"/>
      <c r="V39" s="23"/>
    </row>
    <row r="40" spans="1:22" x14ac:dyDescent="0.3">
      <c r="A40" s="23"/>
      <c r="B40" s="24" t="s">
        <v>33</v>
      </c>
      <c r="C40" s="25" t="s">
        <v>493</v>
      </c>
      <c r="D40" s="25" t="s">
        <v>534</v>
      </c>
      <c r="E40" s="25" t="s">
        <v>492</v>
      </c>
      <c r="F40" s="25" t="s">
        <v>486</v>
      </c>
      <c r="G40" s="26">
        <v>45408</v>
      </c>
      <c r="H40" s="26">
        <v>45305</v>
      </c>
      <c r="I40" s="26">
        <v>45121</v>
      </c>
      <c r="J40" s="27">
        <v>259</v>
      </c>
      <c r="K40" s="27">
        <v>57270.080000000002</v>
      </c>
      <c r="L40" s="27">
        <v>9901.58</v>
      </c>
      <c r="M40" s="25" t="s">
        <v>482</v>
      </c>
      <c r="N40" s="25" t="s">
        <v>479</v>
      </c>
      <c r="O40" s="25" t="s">
        <v>475</v>
      </c>
      <c r="P40" s="28">
        <v>16</v>
      </c>
      <c r="Q40" s="23"/>
      <c r="R40" s="23"/>
      <c r="S40" s="23"/>
      <c r="T40" s="23"/>
      <c r="U40" s="23"/>
      <c r="V40" s="23"/>
    </row>
    <row r="41" spans="1:22" x14ac:dyDescent="0.3">
      <c r="A41" s="23"/>
      <c r="B41" s="24" t="s">
        <v>34</v>
      </c>
      <c r="C41" s="25" t="s">
        <v>494</v>
      </c>
      <c r="D41" s="25" t="s">
        <v>534</v>
      </c>
      <c r="E41" s="25" t="s">
        <v>490</v>
      </c>
      <c r="F41" s="25" t="s">
        <v>486</v>
      </c>
      <c r="G41" s="26">
        <v>45520</v>
      </c>
      <c r="H41" s="26">
        <v>45046</v>
      </c>
      <c r="I41" s="26">
        <v>45463</v>
      </c>
      <c r="J41" s="27">
        <v>170</v>
      </c>
      <c r="K41" s="27">
        <v>49663.799999999996</v>
      </c>
      <c r="L41" s="27">
        <v>6633.59</v>
      </c>
      <c r="M41" s="25" t="s">
        <v>482</v>
      </c>
      <c r="N41" s="25" t="s">
        <v>480</v>
      </c>
      <c r="O41" s="25" t="s">
        <v>475</v>
      </c>
      <c r="P41" s="28">
        <v>3</v>
      </c>
      <c r="Q41" s="23"/>
      <c r="R41" s="23"/>
      <c r="S41" s="23"/>
      <c r="T41" s="23"/>
      <c r="U41" s="23"/>
      <c r="V41" s="23"/>
    </row>
    <row r="42" spans="1:22" x14ac:dyDescent="0.3">
      <c r="A42" s="23"/>
      <c r="B42" s="24" t="s">
        <v>35</v>
      </c>
      <c r="C42" s="25" t="s">
        <v>494</v>
      </c>
      <c r="D42" s="25" t="s">
        <v>534</v>
      </c>
      <c r="E42" s="25" t="s">
        <v>490</v>
      </c>
      <c r="F42" s="25" t="s">
        <v>485</v>
      </c>
      <c r="G42" s="26">
        <v>45323</v>
      </c>
      <c r="H42" s="26">
        <v>45117</v>
      </c>
      <c r="I42" s="26">
        <v>45157</v>
      </c>
      <c r="J42" s="27">
        <v>530</v>
      </c>
      <c r="K42" s="27">
        <v>138208.09999999998</v>
      </c>
      <c r="L42" s="27">
        <v>3746.1</v>
      </c>
      <c r="M42" s="25" t="s">
        <v>483</v>
      </c>
      <c r="N42" s="25" t="s">
        <v>477</v>
      </c>
      <c r="O42" s="25" t="s">
        <v>474</v>
      </c>
      <c r="P42" s="28">
        <v>25</v>
      </c>
      <c r="Q42" s="23"/>
      <c r="R42" s="23"/>
      <c r="S42" s="23"/>
      <c r="T42" s="23"/>
      <c r="U42" s="23"/>
      <c r="V42" s="23"/>
    </row>
    <row r="43" spans="1:22" x14ac:dyDescent="0.3">
      <c r="A43" s="23"/>
      <c r="B43" s="24" t="s">
        <v>36</v>
      </c>
      <c r="C43" s="25" t="s">
        <v>495</v>
      </c>
      <c r="D43" s="25" t="s">
        <v>534</v>
      </c>
      <c r="E43" s="25" t="s">
        <v>490</v>
      </c>
      <c r="F43" s="25" t="s">
        <v>487</v>
      </c>
      <c r="G43" s="26">
        <v>45205</v>
      </c>
      <c r="H43" s="26">
        <v>45297</v>
      </c>
      <c r="I43" s="26">
        <v>45243</v>
      </c>
      <c r="J43" s="27">
        <v>419</v>
      </c>
      <c r="K43" s="27">
        <v>159467.21</v>
      </c>
      <c r="L43" s="27">
        <v>8896.82</v>
      </c>
      <c r="M43" s="25" t="s">
        <v>483</v>
      </c>
      <c r="N43" s="25" t="s">
        <v>478</v>
      </c>
      <c r="O43" s="25" t="s">
        <v>475</v>
      </c>
      <c r="P43" s="28">
        <v>11</v>
      </c>
      <c r="Q43" s="23"/>
      <c r="R43" s="23"/>
      <c r="S43" s="23"/>
      <c r="T43" s="23"/>
      <c r="U43" s="23"/>
      <c r="V43" s="23"/>
    </row>
    <row r="44" spans="1:22" x14ac:dyDescent="0.3">
      <c r="A44" s="23"/>
      <c r="B44" s="24" t="s">
        <v>37</v>
      </c>
      <c r="C44" s="25" t="s">
        <v>493</v>
      </c>
      <c r="D44" s="25" t="s">
        <v>536</v>
      </c>
      <c r="E44" s="25" t="s">
        <v>490</v>
      </c>
      <c r="F44" s="25" t="s">
        <v>486</v>
      </c>
      <c r="G44" s="26">
        <v>45291</v>
      </c>
      <c r="H44" s="26">
        <v>45076</v>
      </c>
      <c r="I44" s="26">
        <v>45559</v>
      </c>
      <c r="J44" s="27">
        <v>347</v>
      </c>
      <c r="K44" s="27">
        <v>50259.48</v>
      </c>
      <c r="L44" s="27">
        <v>1231.1600000000001</v>
      </c>
      <c r="M44" s="25" t="s">
        <v>483</v>
      </c>
      <c r="N44" s="25" t="s">
        <v>479</v>
      </c>
      <c r="O44" s="25" t="s">
        <v>475</v>
      </c>
      <c r="P44" s="28">
        <v>9</v>
      </c>
      <c r="Q44" s="23"/>
      <c r="R44" s="23"/>
      <c r="S44" s="23"/>
      <c r="T44" s="23"/>
      <c r="U44" s="23"/>
      <c r="V44" s="23"/>
    </row>
    <row r="45" spans="1:22" x14ac:dyDescent="0.3">
      <c r="A45" s="23"/>
      <c r="B45" s="24" t="s">
        <v>38</v>
      </c>
      <c r="C45" s="25" t="s">
        <v>493</v>
      </c>
      <c r="D45" s="25" t="s">
        <v>534</v>
      </c>
      <c r="E45" s="25" t="s">
        <v>490</v>
      </c>
      <c r="F45" s="25" t="s">
        <v>485</v>
      </c>
      <c r="G45" s="26">
        <v>45567</v>
      </c>
      <c r="H45" s="26">
        <v>45579</v>
      </c>
      <c r="I45" s="26">
        <v>45584</v>
      </c>
      <c r="J45" s="27">
        <v>170</v>
      </c>
      <c r="K45" s="27">
        <v>76088.599999999991</v>
      </c>
      <c r="L45" s="27">
        <v>835.45</v>
      </c>
      <c r="M45" s="25" t="s">
        <v>483</v>
      </c>
      <c r="N45" s="25" t="s">
        <v>479</v>
      </c>
      <c r="O45" s="25" t="s">
        <v>476</v>
      </c>
      <c r="P45" s="28">
        <v>5</v>
      </c>
      <c r="Q45" s="23"/>
      <c r="R45" s="23"/>
      <c r="S45" s="23"/>
      <c r="T45" s="23"/>
      <c r="U45" s="23"/>
      <c r="V45" s="23"/>
    </row>
    <row r="46" spans="1:22" x14ac:dyDescent="0.3">
      <c r="A46" s="23"/>
      <c r="B46" s="24" t="s">
        <v>39</v>
      </c>
      <c r="C46" s="25" t="s">
        <v>493</v>
      </c>
      <c r="D46" s="25" t="s">
        <v>536</v>
      </c>
      <c r="E46" s="25" t="s">
        <v>492</v>
      </c>
      <c r="F46" s="25" t="s">
        <v>486</v>
      </c>
      <c r="G46" s="26">
        <v>45270</v>
      </c>
      <c r="H46" s="26">
        <v>45415</v>
      </c>
      <c r="I46" s="26">
        <v>45390</v>
      </c>
      <c r="J46" s="27">
        <v>212</v>
      </c>
      <c r="K46" s="27">
        <v>100382</v>
      </c>
      <c r="L46" s="27">
        <v>152.33000000000001</v>
      </c>
      <c r="M46" s="25" t="s">
        <v>483</v>
      </c>
      <c r="N46" s="25" t="s">
        <v>477</v>
      </c>
      <c r="O46" s="25" t="s">
        <v>475</v>
      </c>
      <c r="P46" s="28">
        <v>24</v>
      </c>
      <c r="Q46" s="23"/>
      <c r="R46" s="23"/>
      <c r="S46" s="23"/>
      <c r="T46" s="23"/>
      <c r="U46" s="23"/>
      <c r="V46" s="23"/>
    </row>
    <row r="47" spans="1:22" x14ac:dyDescent="0.3">
      <c r="A47" s="23"/>
      <c r="B47" s="24" t="s">
        <v>40</v>
      </c>
      <c r="C47" s="25" t="s">
        <v>495</v>
      </c>
      <c r="D47" s="25" t="s">
        <v>534</v>
      </c>
      <c r="E47" s="25" t="s">
        <v>490</v>
      </c>
      <c r="F47" s="25" t="s">
        <v>486</v>
      </c>
      <c r="G47" s="26">
        <v>45381</v>
      </c>
      <c r="H47" s="26">
        <v>45301</v>
      </c>
      <c r="I47" s="26">
        <v>45331</v>
      </c>
      <c r="J47" s="27">
        <v>577</v>
      </c>
      <c r="K47" s="27">
        <v>257815.13999999998</v>
      </c>
      <c r="L47" s="27">
        <v>2226.2199999999998</v>
      </c>
      <c r="M47" s="25" t="s">
        <v>483</v>
      </c>
      <c r="N47" s="25" t="s">
        <v>478</v>
      </c>
      <c r="O47" s="25" t="s">
        <v>476</v>
      </c>
      <c r="P47" s="28">
        <v>0</v>
      </c>
      <c r="Q47" s="23"/>
      <c r="R47" s="23"/>
      <c r="S47" s="23"/>
      <c r="T47" s="23"/>
      <c r="U47" s="23"/>
      <c r="V47" s="23"/>
    </row>
    <row r="48" spans="1:22" x14ac:dyDescent="0.3">
      <c r="A48" s="23"/>
      <c r="B48" s="24" t="s">
        <v>41</v>
      </c>
      <c r="C48" s="25" t="s">
        <v>496</v>
      </c>
      <c r="D48" s="25" t="s">
        <v>535</v>
      </c>
      <c r="E48" s="25" t="s">
        <v>490</v>
      </c>
      <c r="F48" s="25" t="s">
        <v>485</v>
      </c>
      <c r="G48" s="26">
        <v>45527</v>
      </c>
      <c r="H48" s="26">
        <v>45620</v>
      </c>
      <c r="I48" s="26">
        <v>45481</v>
      </c>
      <c r="J48" s="27">
        <v>164</v>
      </c>
      <c r="K48" s="27">
        <v>34871.32</v>
      </c>
      <c r="L48" s="27">
        <v>6801.07</v>
      </c>
      <c r="M48" s="25" t="s">
        <v>482</v>
      </c>
      <c r="N48" s="25" t="s">
        <v>477</v>
      </c>
      <c r="O48" s="25" t="s">
        <v>475</v>
      </c>
      <c r="P48" s="28">
        <v>6</v>
      </c>
      <c r="Q48" s="23"/>
      <c r="R48" s="23"/>
      <c r="S48" s="23"/>
      <c r="T48" s="23"/>
      <c r="U48" s="23"/>
      <c r="V48" s="23"/>
    </row>
    <row r="49" spans="1:22" x14ac:dyDescent="0.3">
      <c r="A49" s="23"/>
      <c r="B49" s="24" t="s">
        <v>42</v>
      </c>
      <c r="C49" s="25" t="s">
        <v>494</v>
      </c>
      <c r="D49" s="25" t="s">
        <v>536</v>
      </c>
      <c r="E49" s="25" t="s">
        <v>491</v>
      </c>
      <c r="F49" s="25" t="s">
        <v>486</v>
      </c>
      <c r="G49" s="26">
        <v>45651</v>
      </c>
      <c r="H49" s="26">
        <v>45087</v>
      </c>
      <c r="I49" s="26">
        <v>45323</v>
      </c>
      <c r="J49" s="27">
        <v>197</v>
      </c>
      <c r="K49" s="27">
        <v>77082.159999999989</v>
      </c>
      <c r="L49" s="27">
        <v>9289.8700000000008</v>
      </c>
      <c r="M49" s="25" t="s">
        <v>482</v>
      </c>
      <c r="N49" s="25" t="s">
        <v>477</v>
      </c>
      <c r="O49" s="25" t="s">
        <v>476</v>
      </c>
      <c r="P49" s="28">
        <v>25</v>
      </c>
      <c r="Q49" s="23"/>
      <c r="R49" s="23"/>
      <c r="S49" s="23"/>
      <c r="T49" s="23"/>
      <c r="U49" s="23"/>
      <c r="V49" s="23"/>
    </row>
    <row r="50" spans="1:22" x14ac:dyDescent="0.3">
      <c r="A50" s="23"/>
      <c r="B50" s="24" t="s">
        <v>43</v>
      </c>
      <c r="C50" s="25" t="s">
        <v>495</v>
      </c>
      <c r="D50" s="25" t="s">
        <v>536</v>
      </c>
      <c r="E50" s="25" t="s">
        <v>491</v>
      </c>
      <c r="F50" s="25" t="s">
        <v>486</v>
      </c>
      <c r="G50" s="26">
        <v>45581</v>
      </c>
      <c r="H50" s="26">
        <v>45278</v>
      </c>
      <c r="I50" s="26">
        <v>45137</v>
      </c>
      <c r="J50" s="27">
        <v>470</v>
      </c>
      <c r="K50" s="27">
        <v>113171.3</v>
      </c>
      <c r="L50" s="27">
        <v>7178.15</v>
      </c>
      <c r="M50" s="25" t="s">
        <v>482</v>
      </c>
      <c r="N50" s="25" t="s">
        <v>477</v>
      </c>
      <c r="O50" s="25" t="s">
        <v>476</v>
      </c>
      <c r="P50" s="28">
        <v>26</v>
      </c>
      <c r="Q50" s="23"/>
      <c r="R50" s="23"/>
      <c r="S50" s="23"/>
      <c r="T50" s="23"/>
      <c r="U50" s="23"/>
      <c r="V50" s="23"/>
    </row>
    <row r="51" spans="1:22" x14ac:dyDescent="0.3">
      <c r="A51" s="23"/>
      <c r="B51" s="24" t="s">
        <v>44</v>
      </c>
      <c r="C51" s="25" t="s">
        <v>494</v>
      </c>
      <c r="D51" s="25" t="s">
        <v>536</v>
      </c>
      <c r="E51" s="25" t="s">
        <v>491</v>
      </c>
      <c r="F51" s="25" t="s">
        <v>486</v>
      </c>
      <c r="G51" s="26">
        <v>44991</v>
      </c>
      <c r="H51" s="26">
        <v>45215</v>
      </c>
      <c r="I51" s="26">
        <v>45140</v>
      </c>
      <c r="J51" s="27">
        <v>448</v>
      </c>
      <c r="K51" s="27">
        <v>112573.44</v>
      </c>
      <c r="L51" s="27">
        <v>6685.13</v>
      </c>
      <c r="M51" s="25" t="s">
        <v>482</v>
      </c>
      <c r="N51" s="25" t="s">
        <v>478</v>
      </c>
      <c r="O51" s="25" t="s">
        <v>475</v>
      </c>
      <c r="P51" s="28">
        <v>20</v>
      </c>
      <c r="Q51" s="23"/>
      <c r="R51" s="23"/>
      <c r="S51" s="23"/>
      <c r="T51" s="23"/>
      <c r="U51" s="23"/>
      <c r="V51" s="23"/>
    </row>
    <row r="52" spans="1:22" x14ac:dyDescent="0.3">
      <c r="A52" s="23"/>
      <c r="B52" s="24" t="s">
        <v>558</v>
      </c>
      <c r="C52" s="25" t="s">
        <v>495</v>
      </c>
      <c r="D52" s="25" t="s">
        <v>536</v>
      </c>
      <c r="E52" s="25" t="s">
        <v>492</v>
      </c>
      <c r="F52" s="25" t="s">
        <v>488</v>
      </c>
      <c r="G52" s="26">
        <v>45002</v>
      </c>
      <c r="H52" s="26">
        <v>45215</v>
      </c>
      <c r="I52" s="26">
        <v>45045</v>
      </c>
      <c r="J52" s="27">
        <v>411</v>
      </c>
      <c r="K52" s="27">
        <v>43697.52</v>
      </c>
      <c r="L52" s="27">
        <v>8244.34</v>
      </c>
      <c r="M52" s="25" t="s">
        <v>482</v>
      </c>
      <c r="N52" s="25" t="s">
        <v>479</v>
      </c>
      <c r="O52" s="25" t="s">
        <v>475</v>
      </c>
      <c r="P52" s="28">
        <v>27</v>
      </c>
      <c r="Q52" s="23"/>
      <c r="R52" s="23"/>
      <c r="S52" s="23"/>
      <c r="T52" s="23"/>
      <c r="U52" s="23"/>
      <c r="V52" s="23"/>
    </row>
    <row r="53" spans="1:22" x14ac:dyDescent="0.3">
      <c r="A53" s="23"/>
      <c r="B53" s="24" t="s">
        <v>45</v>
      </c>
      <c r="C53" s="25" t="s">
        <v>496</v>
      </c>
      <c r="D53" s="25" t="s">
        <v>536</v>
      </c>
      <c r="E53" s="25" t="s">
        <v>490</v>
      </c>
      <c r="F53" s="25" t="s">
        <v>485</v>
      </c>
      <c r="G53" s="26">
        <v>45069</v>
      </c>
      <c r="H53" s="26">
        <v>45450</v>
      </c>
      <c r="I53" s="26">
        <v>45576</v>
      </c>
      <c r="J53" s="27">
        <v>80</v>
      </c>
      <c r="K53" s="27">
        <v>7771.2</v>
      </c>
      <c r="L53" s="27">
        <v>8215.93</v>
      </c>
      <c r="M53" s="25" t="s">
        <v>481</v>
      </c>
      <c r="N53" s="25" t="s">
        <v>477</v>
      </c>
      <c r="O53" s="25" t="s">
        <v>476</v>
      </c>
      <c r="P53" s="28">
        <v>15</v>
      </c>
      <c r="Q53" s="23"/>
      <c r="R53" s="23"/>
      <c r="S53" s="23"/>
      <c r="T53" s="23"/>
      <c r="U53" s="23"/>
      <c r="V53" s="23"/>
    </row>
    <row r="54" spans="1:22" x14ac:dyDescent="0.3">
      <c r="A54" s="23"/>
      <c r="B54" s="24" t="s">
        <v>46</v>
      </c>
      <c r="C54" s="25" t="s">
        <v>495</v>
      </c>
      <c r="D54" s="25" t="s">
        <v>534</v>
      </c>
      <c r="E54" s="25" t="s">
        <v>490</v>
      </c>
      <c r="F54" s="25" t="s">
        <v>485</v>
      </c>
      <c r="G54" s="26">
        <v>45531</v>
      </c>
      <c r="H54" s="26">
        <v>45449</v>
      </c>
      <c r="I54" s="26">
        <v>45181</v>
      </c>
      <c r="J54" s="27">
        <v>646</v>
      </c>
      <c r="K54" s="27">
        <v>109251.52</v>
      </c>
      <c r="L54" s="27">
        <v>2163.85</v>
      </c>
      <c r="M54" s="25" t="s">
        <v>481</v>
      </c>
      <c r="N54" s="25" t="s">
        <v>480</v>
      </c>
      <c r="O54" s="25" t="s">
        <v>474</v>
      </c>
      <c r="P54" s="28">
        <v>23</v>
      </c>
      <c r="Q54" s="23"/>
      <c r="R54" s="23"/>
      <c r="S54" s="23"/>
      <c r="T54" s="23"/>
      <c r="U54" s="23"/>
      <c r="V54" s="23"/>
    </row>
    <row r="55" spans="1:22" x14ac:dyDescent="0.3">
      <c r="A55" s="23"/>
      <c r="B55" s="24" t="s">
        <v>47</v>
      </c>
      <c r="C55" s="25" t="s">
        <v>496</v>
      </c>
      <c r="D55" s="25" t="s">
        <v>535</v>
      </c>
      <c r="E55" s="25" t="s">
        <v>490</v>
      </c>
      <c r="F55" s="25" t="s">
        <v>487</v>
      </c>
      <c r="G55" s="26">
        <v>45399</v>
      </c>
      <c r="H55" s="26">
        <v>45200</v>
      </c>
      <c r="I55" s="26">
        <v>45149</v>
      </c>
      <c r="J55" s="27">
        <v>474</v>
      </c>
      <c r="K55" s="27">
        <v>202985.76</v>
      </c>
      <c r="L55" s="27">
        <v>397.37</v>
      </c>
      <c r="M55" s="25" t="s">
        <v>482</v>
      </c>
      <c r="N55" s="25" t="s">
        <v>479</v>
      </c>
      <c r="O55" s="25" t="s">
        <v>476</v>
      </c>
      <c r="P55" s="28">
        <v>13</v>
      </c>
      <c r="Q55" s="23"/>
      <c r="R55" s="23"/>
      <c r="S55" s="23"/>
      <c r="T55" s="23"/>
      <c r="U55" s="23"/>
      <c r="V55" s="23"/>
    </row>
    <row r="56" spans="1:22" x14ac:dyDescent="0.3">
      <c r="A56" s="23"/>
      <c r="B56" s="24" t="s">
        <v>48</v>
      </c>
      <c r="C56" s="25" t="s">
        <v>496</v>
      </c>
      <c r="D56" s="25" t="s">
        <v>535</v>
      </c>
      <c r="E56" s="25" t="s">
        <v>490</v>
      </c>
      <c r="F56" s="25" t="s">
        <v>486</v>
      </c>
      <c r="G56" s="26">
        <v>45343</v>
      </c>
      <c r="H56" s="26">
        <v>45329</v>
      </c>
      <c r="I56" s="26">
        <v>45337</v>
      </c>
      <c r="J56" s="27">
        <v>466</v>
      </c>
      <c r="K56" s="27">
        <v>50095</v>
      </c>
      <c r="L56" s="27">
        <v>2163.85</v>
      </c>
      <c r="M56" s="25" t="s">
        <v>482</v>
      </c>
      <c r="N56" s="25" t="s">
        <v>479</v>
      </c>
      <c r="O56" s="25" t="s">
        <v>475</v>
      </c>
      <c r="P56" s="28">
        <v>22</v>
      </c>
      <c r="Q56" s="23"/>
      <c r="R56" s="23"/>
      <c r="S56" s="23"/>
      <c r="T56" s="23"/>
      <c r="U56" s="23"/>
      <c r="V56" s="23"/>
    </row>
    <row r="57" spans="1:22" x14ac:dyDescent="0.3">
      <c r="A57" s="23"/>
      <c r="B57" s="24" t="s">
        <v>49</v>
      </c>
      <c r="C57" s="25" t="s">
        <v>496</v>
      </c>
      <c r="D57" s="25" t="s">
        <v>536</v>
      </c>
      <c r="E57" s="25" t="s">
        <v>490</v>
      </c>
      <c r="F57" s="25" t="s">
        <v>485</v>
      </c>
      <c r="G57" s="26">
        <v>45231</v>
      </c>
      <c r="H57" s="26">
        <v>45110</v>
      </c>
      <c r="I57" s="26">
        <v>45373</v>
      </c>
      <c r="J57" s="27">
        <v>436</v>
      </c>
      <c r="K57" s="27">
        <v>17535.919999999998</v>
      </c>
      <c r="L57" s="27">
        <v>5972.37</v>
      </c>
      <c r="M57" s="25" t="s">
        <v>482</v>
      </c>
      <c r="N57" s="25" t="s">
        <v>477</v>
      </c>
      <c r="O57" s="25" t="s">
        <v>476</v>
      </c>
      <c r="P57" s="28">
        <v>19</v>
      </c>
      <c r="Q57" s="23"/>
      <c r="R57" s="23"/>
      <c r="S57" s="23"/>
      <c r="T57" s="23"/>
      <c r="U57" s="23"/>
      <c r="V57" s="23"/>
    </row>
    <row r="58" spans="1:22" x14ac:dyDescent="0.3">
      <c r="A58" s="23"/>
      <c r="B58" s="24" t="s">
        <v>50</v>
      </c>
      <c r="C58" s="25" t="s">
        <v>494</v>
      </c>
      <c r="D58" s="25" t="s">
        <v>536</v>
      </c>
      <c r="E58" s="25" t="s">
        <v>490</v>
      </c>
      <c r="F58" s="25" t="s">
        <v>486</v>
      </c>
      <c r="G58" s="26">
        <v>45423</v>
      </c>
      <c r="H58" s="26">
        <v>45592</v>
      </c>
      <c r="I58" s="26">
        <v>45533</v>
      </c>
      <c r="J58" s="27">
        <v>369</v>
      </c>
      <c r="K58" s="27">
        <v>14450.039999999999</v>
      </c>
      <c r="L58" s="27">
        <v>1547.2</v>
      </c>
      <c r="M58" s="25" t="s">
        <v>483</v>
      </c>
      <c r="N58" s="25" t="s">
        <v>480</v>
      </c>
      <c r="O58" s="25" t="s">
        <v>474</v>
      </c>
      <c r="P58" s="28">
        <v>19</v>
      </c>
      <c r="Q58" s="23"/>
      <c r="R58" s="23"/>
      <c r="S58" s="23"/>
      <c r="T58" s="23"/>
      <c r="U58" s="23"/>
      <c r="V58" s="23"/>
    </row>
    <row r="59" spans="1:22" x14ac:dyDescent="0.3">
      <c r="A59" s="23"/>
      <c r="B59" s="24" t="s">
        <v>51</v>
      </c>
      <c r="C59" s="25" t="s">
        <v>494</v>
      </c>
      <c r="D59" s="25" t="s">
        <v>536</v>
      </c>
      <c r="E59" s="25" t="s">
        <v>490</v>
      </c>
      <c r="F59" s="25" t="s">
        <v>488</v>
      </c>
      <c r="G59" s="26">
        <v>45217</v>
      </c>
      <c r="H59" s="26">
        <v>45415</v>
      </c>
      <c r="I59" s="26">
        <v>45284</v>
      </c>
      <c r="J59" s="27">
        <v>39</v>
      </c>
      <c r="K59" s="27">
        <v>18356.91</v>
      </c>
      <c r="L59" s="27">
        <v>5655.78</v>
      </c>
      <c r="M59" s="25" t="s">
        <v>484</v>
      </c>
      <c r="N59" s="25" t="s">
        <v>479</v>
      </c>
      <c r="O59" s="25" t="s">
        <v>475</v>
      </c>
      <c r="P59" s="28">
        <v>5</v>
      </c>
      <c r="Q59" s="23"/>
      <c r="R59" s="23"/>
      <c r="S59" s="23"/>
      <c r="T59" s="23"/>
      <c r="U59" s="23"/>
      <c r="V59" s="23"/>
    </row>
    <row r="60" spans="1:22" x14ac:dyDescent="0.3">
      <c r="A60" s="23"/>
      <c r="B60" s="24" t="s">
        <v>52</v>
      </c>
      <c r="C60" s="25" t="s">
        <v>494</v>
      </c>
      <c r="D60" s="25" t="s">
        <v>536</v>
      </c>
      <c r="E60" s="25" t="s">
        <v>490</v>
      </c>
      <c r="F60" s="25" t="s">
        <v>486</v>
      </c>
      <c r="G60" s="26">
        <v>45028</v>
      </c>
      <c r="H60" s="26">
        <v>45051</v>
      </c>
      <c r="I60" s="26">
        <v>45488</v>
      </c>
      <c r="J60" s="27">
        <v>370</v>
      </c>
      <c r="K60" s="27">
        <v>94694.1</v>
      </c>
      <c r="L60" s="27">
        <v>4262.18</v>
      </c>
      <c r="M60" s="25" t="s">
        <v>484</v>
      </c>
      <c r="N60" s="25" t="s">
        <v>477</v>
      </c>
      <c r="O60" s="25" t="s">
        <v>475</v>
      </c>
      <c r="P60" s="28">
        <v>21</v>
      </c>
      <c r="Q60" s="23"/>
      <c r="R60" s="23"/>
      <c r="S60" s="23"/>
      <c r="T60" s="23"/>
      <c r="U60" s="23"/>
      <c r="V60" s="23"/>
    </row>
    <row r="61" spans="1:22" x14ac:dyDescent="0.3">
      <c r="A61" s="23"/>
      <c r="B61" s="24" t="s">
        <v>53</v>
      </c>
      <c r="C61" s="25" t="s">
        <v>494</v>
      </c>
      <c r="D61" s="25" t="s">
        <v>534</v>
      </c>
      <c r="E61" s="25" t="s">
        <v>490</v>
      </c>
      <c r="F61" s="25" t="s">
        <v>485</v>
      </c>
      <c r="G61" s="26">
        <v>45193</v>
      </c>
      <c r="H61" s="26">
        <v>45553</v>
      </c>
      <c r="I61" s="26">
        <v>45480</v>
      </c>
      <c r="J61" s="27">
        <v>374</v>
      </c>
      <c r="K61" s="27">
        <v>77664.84</v>
      </c>
      <c r="L61" s="27">
        <v>7582.63</v>
      </c>
      <c r="M61" s="25" t="s">
        <v>484</v>
      </c>
      <c r="N61" s="25" t="s">
        <v>477</v>
      </c>
      <c r="O61" s="25" t="s">
        <v>475</v>
      </c>
      <c r="P61" s="28">
        <v>24</v>
      </c>
      <c r="Q61" s="23"/>
      <c r="R61" s="23"/>
      <c r="S61" s="23"/>
      <c r="T61" s="23"/>
      <c r="U61" s="23"/>
      <c r="V61" s="23"/>
    </row>
    <row r="62" spans="1:22" x14ac:dyDescent="0.3">
      <c r="A62" s="23"/>
      <c r="B62" s="24" t="s">
        <v>54</v>
      </c>
      <c r="C62" s="25" t="s">
        <v>494</v>
      </c>
      <c r="D62" s="25" t="s">
        <v>534</v>
      </c>
      <c r="E62" s="25" t="s">
        <v>490</v>
      </c>
      <c r="F62" s="25" t="s">
        <v>488</v>
      </c>
      <c r="G62" s="26">
        <v>45548</v>
      </c>
      <c r="H62" s="26">
        <v>45341</v>
      </c>
      <c r="I62" s="26">
        <v>45072</v>
      </c>
      <c r="J62" s="27">
        <v>455</v>
      </c>
      <c r="K62" s="27">
        <v>184902.9</v>
      </c>
      <c r="L62" s="27">
        <v>5951.92</v>
      </c>
      <c r="M62" s="25" t="s">
        <v>484</v>
      </c>
      <c r="N62" s="25" t="s">
        <v>480</v>
      </c>
      <c r="O62" s="25" t="s">
        <v>475</v>
      </c>
      <c r="P62" s="28">
        <v>27</v>
      </c>
      <c r="Q62" s="23"/>
      <c r="R62" s="23"/>
      <c r="S62" s="23"/>
      <c r="T62" s="23"/>
      <c r="U62" s="23"/>
      <c r="V62" s="23"/>
    </row>
    <row r="63" spans="1:22" x14ac:dyDescent="0.3">
      <c r="A63" s="23"/>
      <c r="B63" s="24" t="s">
        <v>55</v>
      </c>
      <c r="C63" s="25" t="s">
        <v>493</v>
      </c>
      <c r="D63" s="25" t="s">
        <v>534</v>
      </c>
      <c r="E63" s="25" t="s">
        <v>490</v>
      </c>
      <c r="F63" s="25" t="s">
        <v>488</v>
      </c>
      <c r="G63" s="26">
        <v>44929</v>
      </c>
      <c r="H63" s="26">
        <v>45652</v>
      </c>
      <c r="I63" s="26">
        <v>45542</v>
      </c>
      <c r="J63" s="27">
        <v>219</v>
      </c>
      <c r="K63" s="27">
        <v>91701.87000000001</v>
      </c>
      <c r="L63" s="27">
        <v>4328.08</v>
      </c>
      <c r="M63" s="25" t="s">
        <v>482</v>
      </c>
      <c r="N63" s="25" t="s">
        <v>479</v>
      </c>
      <c r="O63" s="25" t="s">
        <v>475</v>
      </c>
      <c r="P63" s="28">
        <v>4</v>
      </c>
      <c r="Q63" s="23"/>
      <c r="R63" s="23"/>
      <c r="S63" s="23"/>
      <c r="T63" s="23"/>
      <c r="U63" s="23"/>
      <c r="V63" s="23"/>
    </row>
    <row r="64" spans="1:22" x14ac:dyDescent="0.3">
      <c r="A64" s="23"/>
      <c r="B64" s="24" t="s">
        <v>56</v>
      </c>
      <c r="C64" s="25" t="s">
        <v>495</v>
      </c>
      <c r="D64" s="25" t="s">
        <v>535</v>
      </c>
      <c r="E64" s="25" t="s">
        <v>491</v>
      </c>
      <c r="F64" s="25" t="s">
        <v>485</v>
      </c>
      <c r="G64" s="26">
        <v>45011</v>
      </c>
      <c r="H64" s="26">
        <v>45099</v>
      </c>
      <c r="I64" s="26">
        <v>45431</v>
      </c>
      <c r="J64" s="27">
        <v>71</v>
      </c>
      <c r="K64" s="27">
        <v>12029.53</v>
      </c>
      <c r="L64" s="27">
        <v>2226.2199999999998</v>
      </c>
      <c r="M64" s="25" t="s">
        <v>482</v>
      </c>
      <c r="N64" s="25" t="s">
        <v>477</v>
      </c>
      <c r="O64" s="25" t="s">
        <v>474</v>
      </c>
      <c r="P64" s="28">
        <v>23</v>
      </c>
      <c r="Q64" s="23"/>
      <c r="R64" s="23"/>
      <c r="S64" s="23"/>
      <c r="T64" s="23"/>
      <c r="U64" s="23"/>
      <c r="V64" s="23"/>
    </row>
    <row r="65" spans="1:22" x14ac:dyDescent="0.3">
      <c r="A65" s="23"/>
      <c r="B65" s="24" t="s">
        <v>57</v>
      </c>
      <c r="C65" s="25" t="s">
        <v>495</v>
      </c>
      <c r="D65" s="25" t="s">
        <v>535</v>
      </c>
      <c r="E65" s="25" t="s">
        <v>492</v>
      </c>
      <c r="F65" s="25" t="s">
        <v>486</v>
      </c>
      <c r="G65" s="26">
        <v>45254</v>
      </c>
      <c r="H65" s="26">
        <v>45215</v>
      </c>
      <c r="I65" s="26">
        <v>45632</v>
      </c>
      <c r="J65" s="27">
        <v>455</v>
      </c>
      <c r="K65" s="27">
        <v>158494.69999999998</v>
      </c>
      <c r="L65" s="27">
        <v>9294.99</v>
      </c>
      <c r="M65" s="25" t="s">
        <v>484</v>
      </c>
      <c r="N65" s="25" t="s">
        <v>480</v>
      </c>
      <c r="O65" s="25" t="s">
        <v>474</v>
      </c>
      <c r="P65" s="28">
        <v>20</v>
      </c>
      <c r="Q65" s="23"/>
      <c r="R65" s="23"/>
      <c r="S65" s="23"/>
      <c r="T65" s="23"/>
      <c r="U65" s="23"/>
      <c r="V65" s="23"/>
    </row>
    <row r="66" spans="1:22" x14ac:dyDescent="0.3">
      <c r="A66" s="23"/>
      <c r="B66" s="24" t="s">
        <v>58</v>
      </c>
      <c r="C66" s="25" t="s">
        <v>494</v>
      </c>
      <c r="D66" s="25" t="s">
        <v>535</v>
      </c>
      <c r="E66" s="25" t="s">
        <v>492</v>
      </c>
      <c r="F66" s="25" t="s">
        <v>486</v>
      </c>
      <c r="G66" s="26">
        <v>45376</v>
      </c>
      <c r="H66" s="26">
        <v>45362</v>
      </c>
      <c r="I66" s="26">
        <v>45477</v>
      </c>
      <c r="J66" s="27">
        <v>262</v>
      </c>
      <c r="K66" s="27">
        <v>101318.01999999999</v>
      </c>
      <c r="L66" s="27">
        <v>2504.25</v>
      </c>
      <c r="M66" s="25" t="s">
        <v>484</v>
      </c>
      <c r="N66" s="25" t="s">
        <v>478</v>
      </c>
      <c r="O66" s="25" t="s">
        <v>475</v>
      </c>
      <c r="P66" s="28">
        <v>17</v>
      </c>
      <c r="Q66" s="23"/>
      <c r="R66" s="23"/>
      <c r="S66" s="23"/>
      <c r="T66" s="23"/>
      <c r="U66" s="23"/>
      <c r="V66" s="23"/>
    </row>
    <row r="67" spans="1:22" x14ac:dyDescent="0.3">
      <c r="A67" s="23"/>
      <c r="B67" s="24" t="s">
        <v>59</v>
      </c>
      <c r="C67" s="25" t="s">
        <v>496</v>
      </c>
      <c r="D67" s="25" t="s">
        <v>535</v>
      </c>
      <c r="E67" s="25" t="s">
        <v>492</v>
      </c>
      <c r="F67" s="25" t="s">
        <v>488</v>
      </c>
      <c r="G67" s="26">
        <v>45380</v>
      </c>
      <c r="H67" s="26">
        <v>45613</v>
      </c>
      <c r="I67" s="26">
        <v>45589</v>
      </c>
      <c r="J67" s="27">
        <v>121</v>
      </c>
      <c r="K67" s="27">
        <v>39815.050000000003</v>
      </c>
      <c r="L67" s="27">
        <v>4689.68</v>
      </c>
      <c r="M67" s="25" t="s">
        <v>482</v>
      </c>
      <c r="N67" s="25" t="s">
        <v>480</v>
      </c>
      <c r="O67" s="25" t="s">
        <v>476</v>
      </c>
      <c r="P67" s="28">
        <v>14</v>
      </c>
      <c r="Q67" s="23"/>
      <c r="R67" s="23"/>
      <c r="S67" s="23"/>
      <c r="T67" s="23"/>
      <c r="U67" s="23"/>
      <c r="V67" s="23"/>
    </row>
    <row r="68" spans="1:22" x14ac:dyDescent="0.3">
      <c r="A68" s="23"/>
      <c r="B68" s="24" t="s">
        <v>60</v>
      </c>
      <c r="C68" s="25" t="s">
        <v>494</v>
      </c>
      <c r="D68" s="25" t="s">
        <v>535</v>
      </c>
      <c r="E68" s="25" t="s">
        <v>490</v>
      </c>
      <c r="F68" s="25" t="s">
        <v>487</v>
      </c>
      <c r="G68" s="26">
        <v>45555</v>
      </c>
      <c r="H68" s="26">
        <v>45040</v>
      </c>
      <c r="I68" s="26">
        <v>45472</v>
      </c>
      <c r="J68" s="27">
        <v>150</v>
      </c>
      <c r="K68" s="27">
        <v>12006.000000000002</v>
      </c>
      <c r="L68" s="27">
        <v>2810.77</v>
      </c>
      <c r="M68" s="25" t="s">
        <v>481</v>
      </c>
      <c r="N68" s="25" t="s">
        <v>480</v>
      </c>
      <c r="O68" s="25" t="s">
        <v>474</v>
      </c>
      <c r="P68" s="28">
        <v>5</v>
      </c>
      <c r="Q68" s="23"/>
      <c r="R68" s="23"/>
      <c r="S68" s="23"/>
      <c r="T68" s="23"/>
      <c r="U68" s="23"/>
      <c r="V68" s="23"/>
    </row>
    <row r="69" spans="1:22" x14ac:dyDescent="0.3">
      <c r="A69" s="23"/>
      <c r="B69" s="24" t="s">
        <v>61</v>
      </c>
      <c r="C69" s="25" t="s">
        <v>496</v>
      </c>
      <c r="D69" s="25" t="s">
        <v>536</v>
      </c>
      <c r="E69" s="25" t="s">
        <v>490</v>
      </c>
      <c r="F69" s="25" t="s">
        <v>488</v>
      </c>
      <c r="G69" s="26">
        <v>45147</v>
      </c>
      <c r="H69" s="26">
        <v>45049</v>
      </c>
      <c r="I69" s="26">
        <v>45437</v>
      </c>
      <c r="J69" s="27">
        <v>527</v>
      </c>
      <c r="K69" s="27">
        <v>231121.12</v>
      </c>
      <c r="L69" s="27">
        <v>7802.07</v>
      </c>
      <c r="M69" s="25" t="s">
        <v>482</v>
      </c>
      <c r="N69" s="25" t="s">
        <v>477</v>
      </c>
      <c r="O69" s="25" t="s">
        <v>475</v>
      </c>
      <c r="P69" s="28">
        <v>24</v>
      </c>
      <c r="Q69" s="23"/>
      <c r="R69" s="23"/>
      <c r="S69" s="23"/>
      <c r="T69" s="23"/>
      <c r="U69" s="23"/>
      <c r="V69" s="23"/>
    </row>
    <row r="70" spans="1:22" x14ac:dyDescent="0.3">
      <c r="A70" s="23"/>
      <c r="B70" s="24" t="s">
        <v>62</v>
      </c>
      <c r="C70" s="25" t="s">
        <v>495</v>
      </c>
      <c r="D70" s="25" t="s">
        <v>536</v>
      </c>
      <c r="E70" s="25" t="s">
        <v>491</v>
      </c>
      <c r="F70" s="25" t="s">
        <v>488</v>
      </c>
      <c r="G70" s="26">
        <v>45080</v>
      </c>
      <c r="H70" s="26">
        <v>45471</v>
      </c>
      <c r="I70" s="26">
        <v>45526</v>
      </c>
      <c r="J70" s="27">
        <v>227</v>
      </c>
      <c r="K70" s="27">
        <v>61709.950000000004</v>
      </c>
      <c r="L70" s="27">
        <v>1748.55</v>
      </c>
      <c r="M70" s="25" t="s">
        <v>482</v>
      </c>
      <c r="N70" s="25" t="s">
        <v>480</v>
      </c>
      <c r="O70" s="25" t="s">
        <v>475</v>
      </c>
      <c r="P70" s="28">
        <v>28</v>
      </c>
      <c r="Q70" s="23"/>
      <c r="R70" s="23"/>
      <c r="S70" s="23"/>
      <c r="T70" s="23"/>
      <c r="U70" s="23"/>
      <c r="V70" s="23"/>
    </row>
    <row r="71" spans="1:22" x14ac:dyDescent="0.3">
      <c r="A71" s="23"/>
      <c r="B71" s="24" t="s">
        <v>63</v>
      </c>
      <c r="C71" s="25" t="s">
        <v>495</v>
      </c>
      <c r="D71" s="25" t="s">
        <v>535</v>
      </c>
      <c r="E71" s="25" t="s">
        <v>492</v>
      </c>
      <c r="F71" s="25" t="s">
        <v>486</v>
      </c>
      <c r="G71" s="26">
        <v>45591</v>
      </c>
      <c r="H71" s="26">
        <v>45149</v>
      </c>
      <c r="I71" s="26">
        <v>45211</v>
      </c>
      <c r="J71" s="27">
        <v>635</v>
      </c>
      <c r="K71" s="27">
        <v>91960.7</v>
      </c>
      <c r="L71" s="27">
        <v>240.6</v>
      </c>
      <c r="M71" s="25" t="s">
        <v>482</v>
      </c>
      <c r="N71" s="25" t="s">
        <v>480</v>
      </c>
      <c r="O71" s="25" t="s">
        <v>475</v>
      </c>
      <c r="P71" s="28">
        <v>18</v>
      </c>
      <c r="Q71" s="23"/>
      <c r="R71" s="23"/>
      <c r="S71" s="23"/>
      <c r="T71" s="23"/>
      <c r="U71" s="23"/>
      <c r="V71" s="23"/>
    </row>
    <row r="72" spans="1:22" x14ac:dyDescent="0.3">
      <c r="A72" s="23"/>
      <c r="B72" s="24" t="s">
        <v>64</v>
      </c>
      <c r="C72" s="25" t="s">
        <v>496</v>
      </c>
      <c r="D72" s="25" t="s">
        <v>535</v>
      </c>
      <c r="E72" s="25" t="s">
        <v>492</v>
      </c>
      <c r="F72" s="25" t="s">
        <v>487</v>
      </c>
      <c r="G72" s="26">
        <v>45059</v>
      </c>
      <c r="H72" s="26">
        <v>44966</v>
      </c>
      <c r="I72" s="26">
        <v>45200</v>
      </c>
      <c r="J72" s="27">
        <v>315</v>
      </c>
      <c r="K72" s="27">
        <v>7434</v>
      </c>
      <c r="L72" s="27">
        <v>8984.2999999999993</v>
      </c>
      <c r="M72" s="25" t="s">
        <v>481</v>
      </c>
      <c r="N72" s="25" t="s">
        <v>480</v>
      </c>
      <c r="O72" s="25" t="s">
        <v>475</v>
      </c>
      <c r="P72" s="28">
        <v>0</v>
      </c>
      <c r="Q72" s="23"/>
      <c r="R72" s="23"/>
      <c r="S72" s="23"/>
      <c r="T72" s="23"/>
      <c r="U72" s="23"/>
      <c r="V72" s="23"/>
    </row>
    <row r="73" spans="1:22" x14ac:dyDescent="0.3">
      <c r="A73" s="23"/>
      <c r="B73" s="24" t="s">
        <v>65</v>
      </c>
      <c r="C73" s="25" t="s">
        <v>494</v>
      </c>
      <c r="D73" s="25" t="s">
        <v>534</v>
      </c>
      <c r="E73" s="25" t="s">
        <v>490</v>
      </c>
      <c r="F73" s="25" t="s">
        <v>488</v>
      </c>
      <c r="G73" s="26">
        <v>45230</v>
      </c>
      <c r="H73" s="26">
        <v>45424</v>
      </c>
      <c r="I73" s="26">
        <v>45084</v>
      </c>
      <c r="J73" s="27">
        <v>58</v>
      </c>
      <c r="K73" s="27">
        <v>3960.82</v>
      </c>
      <c r="L73" s="27">
        <v>1298.5899999999999</v>
      </c>
      <c r="M73" s="25" t="s">
        <v>482</v>
      </c>
      <c r="N73" s="25" t="s">
        <v>477</v>
      </c>
      <c r="O73" s="25" t="s">
        <v>475</v>
      </c>
      <c r="P73" s="28">
        <v>0</v>
      </c>
      <c r="Q73" s="23"/>
      <c r="R73" s="23"/>
      <c r="S73" s="23"/>
      <c r="T73" s="23"/>
      <c r="U73" s="23"/>
      <c r="V73" s="23"/>
    </row>
    <row r="74" spans="1:22" x14ac:dyDescent="0.3">
      <c r="A74" s="23"/>
      <c r="B74" s="24" t="s">
        <v>66</v>
      </c>
      <c r="C74" s="25" t="s">
        <v>495</v>
      </c>
      <c r="D74" s="25" t="s">
        <v>534</v>
      </c>
      <c r="E74" s="25" t="s">
        <v>492</v>
      </c>
      <c r="F74" s="25" t="s">
        <v>486</v>
      </c>
      <c r="G74" s="26">
        <v>45219</v>
      </c>
      <c r="H74" s="26">
        <v>45160</v>
      </c>
      <c r="I74" s="26">
        <v>45544</v>
      </c>
      <c r="J74" s="27">
        <v>241</v>
      </c>
      <c r="K74" s="27">
        <v>92531.95</v>
      </c>
      <c r="L74" s="27">
        <v>3705.54</v>
      </c>
      <c r="M74" s="25" t="s">
        <v>483</v>
      </c>
      <c r="N74" s="25" t="s">
        <v>477</v>
      </c>
      <c r="O74" s="25" t="s">
        <v>475</v>
      </c>
      <c r="P74" s="28">
        <v>12</v>
      </c>
      <c r="Q74" s="23"/>
      <c r="R74" s="23"/>
      <c r="S74" s="23"/>
      <c r="T74" s="23"/>
      <c r="U74" s="23"/>
      <c r="V74" s="23"/>
    </row>
    <row r="75" spans="1:22" x14ac:dyDescent="0.3">
      <c r="A75" s="23"/>
      <c r="B75" s="24" t="s">
        <v>67</v>
      </c>
      <c r="C75" s="25" t="s">
        <v>495</v>
      </c>
      <c r="D75" s="25" t="s">
        <v>536</v>
      </c>
      <c r="E75" s="25" t="s">
        <v>491</v>
      </c>
      <c r="F75" s="25" t="s">
        <v>486</v>
      </c>
      <c r="G75" s="26">
        <v>45226</v>
      </c>
      <c r="H75" s="26">
        <v>45457</v>
      </c>
      <c r="I75" s="26">
        <v>45657</v>
      </c>
      <c r="J75" s="27">
        <v>445</v>
      </c>
      <c r="K75" s="27">
        <v>2229.4499999999998</v>
      </c>
      <c r="L75" s="27">
        <v>891.43</v>
      </c>
      <c r="M75" s="25" t="s">
        <v>484</v>
      </c>
      <c r="N75" s="25" t="s">
        <v>480</v>
      </c>
      <c r="O75" s="25" t="s">
        <v>475</v>
      </c>
      <c r="P75" s="28">
        <v>2</v>
      </c>
      <c r="Q75" s="23"/>
      <c r="R75" s="23"/>
      <c r="S75" s="23"/>
      <c r="T75" s="23"/>
      <c r="U75" s="23"/>
      <c r="V75" s="23"/>
    </row>
    <row r="76" spans="1:22" x14ac:dyDescent="0.3">
      <c r="A76" s="23"/>
      <c r="B76" s="24" t="s">
        <v>68</v>
      </c>
      <c r="C76" s="25" t="s">
        <v>496</v>
      </c>
      <c r="D76" s="25" t="s">
        <v>535</v>
      </c>
      <c r="E76" s="25" t="s">
        <v>491</v>
      </c>
      <c r="F76" s="25" t="s">
        <v>485</v>
      </c>
      <c r="G76" s="26">
        <v>44969</v>
      </c>
      <c r="H76" s="26">
        <v>45076</v>
      </c>
      <c r="I76" s="26">
        <v>45592</v>
      </c>
      <c r="J76" s="27">
        <v>149</v>
      </c>
      <c r="K76" s="27">
        <v>31468.799999999999</v>
      </c>
      <c r="L76" s="27">
        <v>6694.22</v>
      </c>
      <c r="M76" s="25" t="s">
        <v>484</v>
      </c>
      <c r="N76" s="25" t="s">
        <v>480</v>
      </c>
      <c r="O76" s="25" t="s">
        <v>476</v>
      </c>
      <c r="P76" s="28">
        <v>9</v>
      </c>
      <c r="Q76" s="23"/>
      <c r="R76" s="23"/>
      <c r="S76" s="23"/>
      <c r="T76" s="23"/>
      <c r="U76" s="23"/>
      <c r="V76" s="23"/>
    </row>
    <row r="77" spans="1:22" x14ac:dyDescent="0.3">
      <c r="A77" s="23"/>
      <c r="B77" s="24" t="s">
        <v>69</v>
      </c>
      <c r="C77" s="25" t="s">
        <v>496</v>
      </c>
      <c r="D77" s="25" t="s">
        <v>535</v>
      </c>
      <c r="E77" s="25" t="s">
        <v>492</v>
      </c>
      <c r="F77" s="25" t="s">
        <v>486</v>
      </c>
      <c r="G77" s="26">
        <v>45269</v>
      </c>
      <c r="H77" s="26">
        <v>45324</v>
      </c>
      <c r="I77" s="26">
        <v>45013</v>
      </c>
      <c r="J77" s="27">
        <v>180</v>
      </c>
      <c r="K77" s="27">
        <v>47455.199999999997</v>
      </c>
      <c r="L77" s="27">
        <v>4025.21</v>
      </c>
      <c r="M77" s="25" t="s">
        <v>484</v>
      </c>
      <c r="N77" s="25" t="s">
        <v>477</v>
      </c>
      <c r="O77" s="25" t="s">
        <v>476</v>
      </c>
      <c r="P77" s="28">
        <v>20</v>
      </c>
      <c r="Q77" s="23"/>
      <c r="R77" s="23"/>
      <c r="S77" s="23"/>
      <c r="T77" s="23"/>
      <c r="U77" s="23"/>
      <c r="V77" s="23"/>
    </row>
    <row r="78" spans="1:22" x14ac:dyDescent="0.3">
      <c r="A78" s="23"/>
      <c r="B78" s="24" t="s">
        <v>70</v>
      </c>
      <c r="C78" s="25" t="s">
        <v>494</v>
      </c>
      <c r="D78" s="25" t="s">
        <v>535</v>
      </c>
      <c r="E78" s="25" t="s">
        <v>490</v>
      </c>
      <c r="F78" s="25" t="s">
        <v>486</v>
      </c>
      <c r="G78" s="26">
        <v>45252</v>
      </c>
      <c r="H78" s="26">
        <v>45588</v>
      </c>
      <c r="I78" s="26">
        <v>45552</v>
      </c>
      <c r="J78" s="27">
        <v>532</v>
      </c>
      <c r="K78" s="27">
        <v>17045.28</v>
      </c>
      <c r="L78" s="27">
        <v>2419.56</v>
      </c>
      <c r="M78" s="25" t="s">
        <v>482</v>
      </c>
      <c r="N78" s="25" t="s">
        <v>478</v>
      </c>
      <c r="O78" s="25" t="s">
        <v>476</v>
      </c>
      <c r="P78" s="28">
        <v>2</v>
      </c>
      <c r="Q78" s="23"/>
      <c r="R78" s="23"/>
      <c r="S78" s="23"/>
      <c r="T78" s="23"/>
      <c r="U78" s="23"/>
      <c r="V78" s="23"/>
    </row>
    <row r="79" spans="1:22" x14ac:dyDescent="0.3">
      <c r="A79" s="23"/>
      <c r="B79" s="24" t="s">
        <v>71</v>
      </c>
      <c r="C79" s="25" t="s">
        <v>496</v>
      </c>
      <c r="D79" s="25" t="s">
        <v>535</v>
      </c>
      <c r="E79" s="25" t="s">
        <v>491</v>
      </c>
      <c r="F79" s="25" t="s">
        <v>486</v>
      </c>
      <c r="G79" s="26">
        <v>45424</v>
      </c>
      <c r="H79" s="26">
        <v>45565</v>
      </c>
      <c r="I79" s="26">
        <v>45356</v>
      </c>
      <c r="J79" s="27">
        <v>360</v>
      </c>
      <c r="K79" s="27">
        <v>175201.2</v>
      </c>
      <c r="L79" s="27">
        <v>9419.84</v>
      </c>
      <c r="M79" s="25" t="s">
        <v>484</v>
      </c>
      <c r="N79" s="25" t="s">
        <v>480</v>
      </c>
      <c r="O79" s="25" t="s">
        <v>475</v>
      </c>
      <c r="P79" s="28">
        <v>8</v>
      </c>
      <c r="Q79" s="23"/>
      <c r="R79" s="23"/>
      <c r="S79" s="23"/>
      <c r="T79" s="23"/>
      <c r="U79" s="23"/>
      <c r="V79" s="23"/>
    </row>
    <row r="80" spans="1:22" x14ac:dyDescent="0.3">
      <c r="A80" s="23"/>
      <c r="B80" s="24" t="s">
        <v>72</v>
      </c>
      <c r="C80" s="25" t="s">
        <v>496</v>
      </c>
      <c r="D80" s="25" t="s">
        <v>535</v>
      </c>
      <c r="E80" s="25" t="s">
        <v>491</v>
      </c>
      <c r="F80" s="25" t="s">
        <v>488</v>
      </c>
      <c r="G80" s="26">
        <v>45290</v>
      </c>
      <c r="H80" s="26">
        <v>45229</v>
      </c>
      <c r="I80" s="26">
        <v>45205</v>
      </c>
      <c r="J80" s="27">
        <v>240</v>
      </c>
      <c r="K80" s="27">
        <v>28063.200000000001</v>
      </c>
      <c r="L80" s="27">
        <v>3756.46</v>
      </c>
      <c r="M80" s="25" t="s">
        <v>484</v>
      </c>
      <c r="N80" s="25" t="s">
        <v>478</v>
      </c>
      <c r="O80" s="25" t="s">
        <v>475</v>
      </c>
      <c r="P80" s="28">
        <v>7</v>
      </c>
      <c r="Q80" s="23"/>
      <c r="R80" s="23"/>
      <c r="S80" s="23"/>
      <c r="T80" s="23"/>
      <c r="U80" s="23"/>
      <c r="V80" s="23"/>
    </row>
    <row r="81" spans="1:22" x14ac:dyDescent="0.3">
      <c r="A81" s="23"/>
      <c r="B81" s="24" t="s">
        <v>73</v>
      </c>
      <c r="C81" s="25" t="s">
        <v>495</v>
      </c>
      <c r="D81" s="25" t="s">
        <v>535</v>
      </c>
      <c r="E81" s="25" t="s">
        <v>491</v>
      </c>
      <c r="F81" s="25" t="s">
        <v>487</v>
      </c>
      <c r="G81" s="26">
        <v>45353</v>
      </c>
      <c r="H81" s="26">
        <v>45287</v>
      </c>
      <c r="I81" s="26">
        <v>45643</v>
      </c>
      <c r="J81" s="27">
        <v>288</v>
      </c>
      <c r="K81" s="27">
        <v>44807.040000000001</v>
      </c>
      <c r="L81" s="27">
        <v>4141.42</v>
      </c>
      <c r="M81" s="25" t="s">
        <v>481</v>
      </c>
      <c r="N81" s="25" t="s">
        <v>478</v>
      </c>
      <c r="O81" s="25" t="s">
        <v>475</v>
      </c>
      <c r="P81" s="28">
        <v>2</v>
      </c>
      <c r="Q81" s="23"/>
      <c r="R81" s="23"/>
      <c r="S81" s="23"/>
      <c r="T81" s="23"/>
      <c r="U81" s="23"/>
      <c r="V81" s="23"/>
    </row>
    <row r="82" spans="1:22" x14ac:dyDescent="0.3">
      <c r="A82" s="23"/>
      <c r="B82" s="24" t="s">
        <v>74</v>
      </c>
      <c r="C82" s="25" t="s">
        <v>494</v>
      </c>
      <c r="D82" s="25" t="s">
        <v>534</v>
      </c>
      <c r="E82" s="25" t="s">
        <v>490</v>
      </c>
      <c r="F82" s="25" t="s">
        <v>486</v>
      </c>
      <c r="G82" s="26">
        <v>44947</v>
      </c>
      <c r="H82" s="26">
        <v>45165</v>
      </c>
      <c r="I82" s="26">
        <v>45214</v>
      </c>
      <c r="J82" s="27">
        <v>242</v>
      </c>
      <c r="K82" s="27">
        <v>37618.899999999994</v>
      </c>
      <c r="L82" s="27">
        <v>3483.58</v>
      </c>
      <c r="M82" s="25" t="s">
        <v>484</v>
      </c>
      <c r="N82" s="25" t="s">
        <v>477</v>
      </c>
      <c r="O82" s="25" t="s">
        <v>474</v>
      </c>
      <c r="P82" s="28">
        <v>24</v>
      </c>
      <c r="Q82" s="23"/>
      <c r="R82" s="23"/>
      <c r="S82" s="23"/>
      <c r="T82" s="23"/>
      <c r="U82" s="23"/>
      <c r="V82" s="23"/>
    </row>
    <row r="83" spans="1:22" x14ac:dyDescent="0.3">
      <c r="A83" s="23"/>
      <c r="B83" s="24" t="s">
        <v>75</v>
      </c>
      <c r="C83" s="25" t="s">
        <v>495</v>
      </c>
      <c r="D83" s="25" t="s">
        <v>535</v>
      </c>
      <c r="E83" s="25" t="s">
        <v>490</v>
      </c>
      <c r="F83" s="25" t="s">
        <v>485</v>
      </c>
      <c r="G83" s="26">
        <v>45545</v>
      </c>
      <c r="H83" s="26">
        <v>45590</v>
      </c>
      <c r="I83" s="26">
        <v>45257</v>
      </c>
      <c r="J83" s="27">
        <v>418</v>
      </c>
      <c r="K83" s="27">
        <v>2395.1400000000003</v>
      </c>
      <c r="L83" s="27">
        <v>7263.81</v>
      </c>
      <c r="M83" s="25" t="s">
        <v>481</v>
      </c>
      <c r="N83" s="25" t="s">
        <v>478</v>
      </c>
      <c r="O83" s="25" t="s">
        <v>476</v>
      </c>
      <c r="P83" s="28">
        <v>12</v>
      </c>
      <c r="Q83" s="23"/>
      <c r="R83" s="23"/>
      <c r="S83" s="23"/>
      <c r="T83" s="23"/>
      <c r="U83" s="23"/>
      <c r="V83" s="23"/>
    </row>
    <row r="84" spans="1:22" x14ac:dyDescent="0.3">
      <c r="A84" s="23"/>
      <c r="B84" s="24" t="s">
        <v>76</v>
      </c>
      <c r="C84" s="25" t="s">
        <v>494</v>
      </c>
      <c r="D84" s="25" t="s">
        <v>535</v>
      </c>
      <c r="E84" s="25" t="s">
        <v>492</v>
      </c>
      <c r="F84" s="25" t="s">
        <v>485</v>
      </c>
      <c r="G84" s="26">
        <v>45262</v>
      </c>
      <c r="H84" s="26">
        <v>45163</v>
      </c>
      <c r="I84" s="26">
        <v>45648</v>
      </c>
      <c r="J84" s="27">
        <v>501</v>
      </c>
      <c r="K84" s="27">
        <v>183381.03</v>
      </c>
      <c r="L84" s="27">
        <v>7706.02</v>
      </c>
      <c r="M84" s="25" t="s">
        <v>482</v>
      </c>
      <c r="N84" s="25" t="s">
        <v>477</v>
      </c>
      <c r="O84" s="25" t="s">
        <v>475</v>
      </c>
      <c r="P84" s="28">
        <v>5</v>
      </c>
      <c r="Q84" s="23"/>
      <c r="R84" s="23"/>
      <c r="S84" s="23"/>
      <c r="T84" s="23"/>
      <c r="U84" s="23"/>
      <c r="V84" s="23"/>
    </row>
    <row r="85" spans="1:22" x14ac:dyDescent="0.3">
      <c r="A85" s="23"/>
      <c r="B85" s="24" t="s">
        <v>77</v>
      </c>
      <c r="C85" s="25" t="s">
        <v>495</v>
      </c>
      <c r="D85" s="25" t="s">
        <v>535</v>
      </c>
      <c r="E85" s="25" t="s">
        <v>490</v>
      </c>
      <c r="F85" s="25" t="s">
        <v>485</v>
      </c>
      <c r="G85" s="26">
        <v>45043</v>
      </c>
      <c r="H85" s="26">
        <v>45663</v>
      </c>
      <c r="I85" s="26">
        <v>44993</v>
      </c>
      <c r="J85" s="27">
        <v>410</v>
      </c>
      <c r="K85" s="27">
        <v>198271.9</v>
      </c>
      <c r="L85" s="27">
        <v>2221.16</v>
      </c>
      <c r="M85" s="25" t="s">
        <v>484</v>
      </c>
      <c r="N85" s="25" t="s">
        <v>477</v>
      </c>
      <c r="O85" s="25" t="s">
        <v>476</v>
      </c>
      <c r="P85" s="28">
        <v>12</v>
      </c>
      <c r="Q85" s="23"/>
      <c r="R85" s="23"/>
      <c r="S85" s="23"/>
      <c r="T85" s="23"/>
      <c r="U85" s="23"/>
      <c r="V85" s="23"/>
    </row>
    <row r="86" spans="1:22" x14ac:dyDescent="0.3">
      <c r="A86" s="23"/>
      <c r="B86" s="24" t="s">
        <v>78</v>
      </c>
      <c r="C86" s="25" t="s">
        <v>495</v>
      </c>
      <c r="D86" s="25" t="s">
        <v>535</v>
      </c>
      <c r="E86" s="25" t="s">
        <v>490</v>
      </c>
      <c r="F86" s="25" t="s">
        <v>488</v>
      </c>
      <c r="G86" s="26">
        <v>45050</v>
      </c>
      <c r="H86" s="26">
        <v>45130</v>
      </c>
      <c r="I86" s="26">
        <v>45003</v>
      </c>
      <c r="J86" s="27">
        <v>572</v>
      </c>
      <c r="K86" s="27">
        <v>66369.16</v>
      </c>
      <c r="L86" s="27">
        <v>8178.89</v>
      </c>
      <c r="M86" s="25" t="s">
        <v>484</v>
      </c>
      <c r="N86" s="25" t="s">
        <v>477</v>
      </c>
      <c r="O86" s="25" t="s">
        <v>475</v>
      </c>
      <c r="P86" s="28">
        <v>22</v>
      </c>
      <c r="Q86" s="23"/>
      <c r="R86" s="23"/>
      <c r="S86" s="23"/>
      <c r="T86" s="23"/>
      <c r="U86" s="23"/>
      <c r="V86" s="23"/>
    </row>
    <row r="87" spans="1:22" x14ac:dyDescent="0.3">
      <c r="A87" s="23"/>
      <c r="B87" s="24" t="s">
        <v>79</v>
      </c>
      <c r="C87" s="25" t="s">
        <v>495</v>
      </c>
      <c r="D87" s="25" t="s">
        <v>535</v>
      </c>
      <c r="E87" s="25" t="s">
        <v>490</v>
      </c>
      <c r="F87" s="25" t="s">
        <v>486</v>
      </c>
      <c r="G87" s="26">
        <v>45325</v>
      </c>
      <c r="H87" s="26">
        <v>45183</v>
      </c>
      <c r="I87" s="26">
        <v>45566</v>
      </c>
      <c r="J87" s="27">
        <v>293</v>
      </c>
      <c r="K87" s="27">
        <v>97630.53</v>
      </c>
      <c r="L87" s="27">
        <v>2363.4299999999998</v>
      </c>
      <c r="M87" s="25" t="s">
        <v>484</v>
      </c>
      <c r="N87" s="25" t="s">
        <v>480</v>
      </c>
      <c r="O87" s="25" t="s">
        <v>475</v>
      </c>
      <c r="P87" s="28">
        <v>19</v>
      </c>
      <c r="Q87" s="23"/>
      <c r="R87" s="23"/>
      <c r="S87" s="23"/>
      <c r="T87" s="23"/>
      <c r="U87" s="23"/>
      <c r="V87" s="23"/>
    </row>
    <row r="88" spans="1:22" x14ac:dyDescent="0.3">
      <c r="A88" s="23"/>
      <c r="B88" s="24" t="s">
        <v>80</v>
      </c>
      <c r="C88" s="25" t="s">
        <v>495</v>
      </c>
      <c r="D88" s="25" t="s">
        <v>534</v>
      </c>
      <c r="E88" s="25" t="s">
        <v>490</v>
      </c>
      <c r="F88" s="25" t="s">
        <v>488</v>
      </c>
      <c r="G88" s="26">
        <v>45641</v>
      </c>
      <c r="H88" s="26">
        <v>45525</v>
      </c>
      <c r="I88" s="26">
        <v>45305</v>
      </c>
      <c r="J88" s="27">
        <v>532</v>
      </c>
      <c r="K88" s="27">
        <v>198031.68</v>
      </c>
      <c r="L88" s="27">
        <v>873.23</v>
      </c>
      <c r="M88" s="25" t="s">
        <v>482</v>
      </c>
      <c r="N88" s="25" t="s">
        <v>478</v>
      </c>
      <c r="O88" s="25" t="s">
        <v>475</v>
      </c>
      <c r="P88" s="28">
        <v>19</v>
      </c>
      <c r="Q88" s="23"/>
      <c r="R88" s="23"/>
      <c r="S88" s="23"/>
      <c r="T88" s="23"/>
      <c r="U88" s="23"/>
      <c r="V88" s="23"/>
    </row>
    <row r="89" spans="1:22" x14ac:dyDescent="0.3">
      <c r="A89" s="23"/>
      <c r="B89" s="24" t="s">
        <v>81</v>
      </c>
      <c r="C89" s="25" t="s">
        <v>496</v>
      </c>
      <c r="D89" s="25" t="s">
        <v>534</v>
      </c>
      <c r="E89" s="25" t="s">
        <v>490</v>
      </c>
      <c r="F89" s="25" t="s">
        <v>487</v>
      </c>
      <c r="G89" s="26">
        <v>44977</v>
      </c>
      <c r="H89" s="26">
        <v>45589</v>
      </c>
      <c r="I89" s="26">
        <v>45563</v>
      </c>
      <c r="J89" s="27">
        <v>429</v>
      </c>
      <c r="K89" s="27">
        <v>182312.13</v>
      </c>
      <c r="L89" s="27">
        <v>664.99</v>
      </c>
      <c r="M89" s="25" t="s">
        <v>484</v>
      </c>
      <c r="N89" s="25" t="s">
        <v>477</v>
      </c>
      <c r="O89" s="25" t="s">
        <v>474</v>
      </c>
      <c r="P89" s="28">
        <v>11</v>
      </c>
      <c r="Q89" s="23"/>
      <c r="R89" s="23"/>
      <c r="S89" s="23"/>
      <c r="T89" s="23"/>
      <c r="U89" s="23"/>
      <c r="V89" s="23"/>
    </row>
    <row r="90" spans="1:22" x14ac:dyDescent="0.3">
      <c r="A90" s="23"/>
      <c r="B90" s="24" t="s">
        <v>81</v>
      </c>
      <c r="C90" s="25" t="s">
        <v>496</v>
      </c>
      <c r="D90" s="25" t="s">
        <v>535</v>
      </c>
      <c r="E90" s="25" t="s">
        <v>490</v>
      </c>
      <c r="F90" s="25" t="s">
        <v>487</v>
      </c>
      <c r="G90" s="26">
        <v>45250</v>
      </c>
      <c r="H90" s="26">
        <v>45162</v>
      </c>
      <c r="I90" s="26">
        <v>45438</v>
      </c>
      <c r="J90" s="27">
        <v>160</v>
      </c>
      <c r="K90" s="27">
        <v>34272</v>
      </c>
      <c r="L90" s="27">
        <v>896.78</v>
      </c>
      <c r="M90" s="25" t="s">
        <v>481</v>
      </c>
      <c r="N90" s="25" t="s">
        <v>479</v>
      </c>
      <c r="O90" s="25" t="s">
        <v>475</v>
      </c>
      <c r="P90" s="28">
        <v>12</v>
      </c>
      <c r="Q90" s="23"/>
      <c r="R90" s="23"/>
      <c r="S90" s="23"/>
      <c r="T90" s="23"/>
      <c r="U90" s="23"/>
      <c r="V90" s="23"/>
    </row>
    <row r="91" spans="1:22" x14ac:dyDescent="0.3">
      <c r="A91" s="23"/>
      <c r="B91" s="24" t="s">
        <v>82</v>
      </c>
      <c r="C91" s="25" t="s">
        <v>496</v>
      </c>
      <c r="D91" s="25" t="s">
        <v>535</v>
      </c>
      <c r="E91" s="25" t="s">
        <v>491</v>
      </c>
      <c r="F91" s="25" t="s">
        <v>487</v>
      </c>
      <c r="G91" s="26">
        <v>45067</v>
      </c>
      <c r="H91" s="26">
        <v>45272</v>
      </c>
      <c r="I91" s="26">
        <v>45328</v>
      </c>
      <c r="J91" s="27">
        <v>550</v>
      </c>
      <c r="K91" s="27">
        <v>85222.5</v>
      </c>
      <c r="L91" s="27">
        <v>9901.58</v>
      </c>
      <c r="M91" s="25" t="s">
        <v>481</v>
      </c>
      <c r="N91" s="25" t="s">
        <v>477</v>
      </c>
      <c r="O91" s="25" t="s">
        <v>475</v>
      </c>
      <c r="P91" s="28">
        <v>1</v>
      </c>
      <c r="Q91" s="23"/>
      <c r="R91" s="23"/>
      <c r="S91" s="23"/>
      <c r="T91" s="23"/>
      <c r="U91" s="23"/>
      <c r="V91" s="23"/>
    </row>
    <row r="92" spans="1:22" x14ac:dyDescent="0.3">
      <c r="A92" s="23"/>
      <c r="B92" s="24" t="s">
        <v>83</v>
      </c>
      <c r="C92" s="25" t="s">
        <v>495</v>
      </c>
      <c r="D92" s="25" t="s">
        <v>535</v>
      </c>
      <c r="E92" s="25" t="s">
        <v>490</v>
      </c>
      <c r="F92" s="25" t="s">
        <v>486</v>
      </c>
      <c r="G92" s="26">
        <v>45396</v>
      </c>
      <c r="H92" s="26">
        <v>45461</v>
      </c>
      <c r="I92" s="26">
        <v>45050</v>
      </c>
      <c r="J92" s="27">
        <v>248</v>
      </c>
      <c r="K92" s="27">
        <v>41172.959999999999</v>
      </c>
      <c r="L92" s="27">
        <v>1946.57</v>
      </c>
      <c r="M92" s="25" t="s">
        <v>481</v>
      </c>
      <c r="N92" s="25" t="s">
        <v>478</v>
      </c>
      <c r="O92" s="25" t="s">
        <v>475</v>
      </c>
      <c r="P92" s="28">
        <v>20</v>
      </c>
      <c r="Q92" s="23"/>
      <c r="R92" s="23"/>
      <c r="S92" s="23"/>
      <c r="T92" s="23"/>
      <c r="U92" s="23"/>
      <c r="V92" s="23"/>
    </row>
    <row r="93" spans="1:22" x14ac:dyDescent="0.3">
      <c r="A93" s="23"/>
      <c r="B93" s="24" t="s">
        <v>84</v>
      </c>
      <c r="C93" s="25" t="s">
        <v>494</v>
      </c>
      <c r="D93" s="25" t="s">
        <v>535</v>
      </c>
      <c r="E93" s="25" t="s">
        <v>490</v>
      </c>
      <c r="F93" s="25" t="s">
        <v>486</v>
      </c>
      <c r="G93" s="26">
        <v>45260</v>
      </c>
      <c r="H93" s="26">
        <v>45393</v>
      </c>
      <c r="I93" s="26">
        <v>45367</v>
      </c>
      <c r="J93" s="27">
        <v>365</v>
      </c>
      <c r="K93" s="27">
        <v>130578.75</v>
      </c>
      <c r="L93" s="27">
        <v>7259.75</v>
      </c>
      <c r="M93" s="25" t="s">
        <v>481</v>
      </c>
      <c r="N93" s="25" t="s">
        <v>478</v>
      </c>
      <c r="O93" s="25" t="s">
        <v>476</v>
      </c>
      <c r="P93" s="28">
        <v>23</v>
      </c>
      <c r="Q93" s="23"/>
      <c r="R93" s="23"/>
      <c r="S93" s="23"/>
      <c r="T93" s="23"/>
      <c r="U93" s="23"/>
      <c r="V93" s="23"/>
    </row>
    <row r="94" spans="1:22" x14ac:dyDescent="0.3">
      <c r="A94" s="23"/>
      <c r="B94" s="24" t="s">
        <v>85</v>
      </c>
      <c r="C94" s="25" t="s">
        <v>494</v>
      </c>
      <c r="D94" s="25" t="s">
        <v>535</v>
      </c>
      <c r="E94" s="25" t="s">
        <v>491</v>
      </c>
      <c r="F94" s="25" t="s">
        <v>486</v>
      </c>
      <c r="G94" s="26">
        <v>45299</v>
      </c>
      <c r="H94" s="26">
        <v>45468</v>
      </c>
      <c r="I94" s="26">
        <v>45606</v>
      </c>
      <c r="J94" s="27">
        <v>256</v>
      </c>
      <c r="K94" s="27">
        <v>104783.36</v>
      </c>
      <c r="L94" s="27">
        <v>5734.04</v>
      </c>
      <c r="M94" s="25" t="s">
        <v>483</v>
      </c>
      <c r="N94" s="25" t="s">
        <v>478</v>
      </c>
      <c r="O94" s="25" t="s">
        <v>474</v>
      </c>
      <c r="P94" s="28">
        <v>22</v>
      </c>
      <c r="Q94" s="23"/>
      <c r="R94" s="23"/>
      <c r="S94" s="23"/>
      <c r="T94" s="23"/>
      <c r="U94" s="23"/>
      <c r="V94" s="23"/>
    </row>
    <row r="95" spans="1:22" x14ac:dyDescent="0.3">
      <c r="A95" s="23"/>
      <c r="B95" s="24" t="s">
        <v>86</v>
      </c>
      <c r="C95" s="25" t="s">
        <v>494</v>
      </c>
      <c r="D95" s="25" t="s">
        <v>534</v>
      </c>
      <c r="E95" s="25" t="s">
        <v>490</v>
      </c>
      <c r="F95" s="25" t="s">
        <v>487</v>
      </c>
      <c r="G95" s="26">
        <v>45490</v>
      </c>
      <c r="H95" s="26">
        <v>45140</v>
      </c>
      <c r="I95" s="26">
        <v>45395</v>
      </c>
      <c r="J95" s="27">
        <v>435</v>
      </c>
      <c r="K95" s="27">
        <v>41281.5</v>
      </c>
      <c r="L95" s="27">
        <v>8024.39</v>
      </c>
      <c r="M95" s="25" t="s">
        <v>482</v>
      </c>
      <c r="N95" s="25" t="s">
        <v>478</v>
      </c>
      <c r="O95" s="25" t="s">
        <v>476</v>
      </c>
      <c r="P95" s="28">
        <v>15</v>
      </c>
      <c r="Q95" s="23"/>
      <c r="R95" s="23"/>
      <c r="S95" s="23"/>
      <c r="T95" s="23"/>
      <c r="U95" s="23"/>
      <c r="V95" s="23"/>
    </row>
    <row r="96" spans="1:22" x14ac:dyDescent="0.3">
      <c r="A96" s="23"/>
      <c r="B96" s="24" t="s">
        <v>87</v>
      </c>
      <c r="C96" s="25" t="s">
        <v>494</v>
      </c>
      <c r="D96" s="25" t="s">
        <v>534</v>
      </c>
      <c r="E96" s="25" t="s">
        <v>492</v>
      </c>
      <c r="F96" s="25" t="s">
        <v>487</v>
      </c>
      <c r="G96" s="26">
        <v>45420</v>
      </c>
      <c r="H96" s="26">
        <v>45390</v>
      </c>
      <c r="I96" s="26">
        <v>45216</v>
      </c>
      <c r="J96" s="27">
        <v>276</v>
      </c>
      <c r="K96" s="27">
        <v>52059.12</v>
      </c>
      <c r="L96" s="27">
        <v>4215.1400000000003</v>
      </c>
      <c r="M96" s="25" t="s">
        <v>482</v>
      </c>
      <c r="N96" s="25" t="s">
        <v>480</v>
      </c>
      <c r="O96" s="25" t="s">
        <v>475</v>
      </c>
      <c r="P96" s="28">
        <v>22</v>
      </c>
      <c r="Q96" s="23"/>
      <c r="R96" s="23"/>
      <c r="S96" s="23"/>
      <c r="T96" s="23"/>
      <c r="U96" s="23"/>
      <c r="V96" s="23"/>
    </row>
    <row r="97" spans="1:22" x14ac:dyDescent="0.3">
      <c r="A97" s="23"/>
      <c r="B97" s="24" t="s">
        <v>88</v>
      </c>
      <c r="C97" s="25" t="s">
        <v>495</v>
      </c>
      <c r="D97" s="25" t="s">
        <v>535</v>
      </c>
      <c r="E97" s="25" t="s">
        <v>492</v>
      </c>
      <c r="F97" s="25" t="s">
        <v>487</v>
      </c>
      <c r="G97" s="26">
        <v>45465</v>
      </c>
      <c r="H97" s="26">
        <v>45363</v>
      </c>
      <c r="I97" s="26">
        <v>45195</v>
      </c>
      <c r="J97" s="27">
        <v>405</v>
      </c>
      <c r="K97" s="27">
        <v>182841.3</v>
      </c>
      <c r="L97" s="27">
        <v>2332.19</v>
      </c>
      <c r="M97" s="25" t="s">
        <v>482</v>
      </c>
      <c r="N97" s="25" t="s">
        <v>480</v>
      </c>
      <c r="O97" s="25" t="s">
        <v>475</v>
      </c>
      <c r="P97" s="28">
        <v>5</v>
      </c>
      <c r="Q97" s="23"/>
      <c r="R97" s="23"/>
      <c r="S97" s="23"/>
      <c r="T97" s="23"/>
      <c r="U97" s="23"/>
      <c r="V97" s="23"/>
    </row>
    <row r="98" spans="1:22" x14ac:dyDescent="0.3">
      <c r="A98" s="23"/>
      <c r="B98" s="24" t="s">
        <v>89</v>
      </c>
      <c r="C98" s="25" t="s">
        <v>495</v>
      </c>
      <c r="D98" s="25" t="s">
        <v>535</v>
      </c>
      <c r="E98" s="25" t="s">
        <v>490</v>
      </c>
      <c r="F98" s="25" t="s">
        <v>488</v>
      </c>
      <c r="G98" s="26">
        <v>45595</v>
      </c>
      <c r="H98" s="26">
        <v>45210</v>
      </c>
      <c r="I98" s="26">
        <v>45250</v>
      </c>
      <c r="J98" s="27">
        <v>248</v>
      </c>
      <c r="K98" s="27">
        <v>100268.88</v>
      </c>
      <c r="L98" s="27">
        <v>7987.44</v>
      </c>
      <c r="M98" s="25" t="s">
        <v>484</v>
      </c>
      <c r="N98" s="25" t="s">
        <v>478</v>
      </c>
      <c r="O98" s="25" t="s">
        <v>475</v>
      </c>
      <c r="P98" s="28">
        <v>18</v>
      </c>
      <c r="Q98" s="23"/>
      <c r="R98" s="23"/>
      <c r="S98" s="23"/>
      <c r="T98" s="23"/>
      <c r="U98" s="23"/>
      <c r="V98" s="23"/>
    </row>
    <row r="99" spans="1:22" x14ac:dyDescent="0.3">
      <c r="A99" s="23"/>
      <c r="B99" s="24" t="s">
        <v>90</v>
      </c>
      <c r="C99" s="25" t="s">
        <v>495</v>
      </c>
      <c r="D99" s="25" t="s">
        <v>535</v>
      </c>
      <c r="E99" s="25" t="s">
        <v>492</v>
      </c>
      <c r="F99" s="25" t="s">
        <v>487</v>
      </c>
      <c r="G99" s="26">
        <v>45082</v>
      </c>
      <c r="H99" s="26">
        <v>45489</v>
      </c>
      <c r="I99" s="26">
        <v>45603</v>
      </c>
      <c r="J99" s="27">
        <v>498</v>
      </c>
      <c r="K99" s="27">
        <v>245265</v>
      </c>
      <c r="L99" s="27">
        <v>3315.92</v>
      </c>
      <c r="M99" s="25" t="s">
        <v>481</v>
      </c>
      <c r="N99" s="25" t="s">
        <v>478</v>
      </c>
      <c r="O99" s="25" t="s">
        <v>476</v>
      </c>
      <c r="P99" s="28">
        <v>20</v>
      </c>
      <c r="Q99" s="23"/>
      <c r="R99" s="23"/>
      <c r="S99" s="23"/>
      <c r="T99" s="23"/>
      <c r="U99" s="23"/>
      <c r="V99" s="23"/>
    </row>
    <row r="100" spans="1:22" x14ac:dyDescent="0.3">
      <c r="A100" s="23"/>
      <c r="B100" s="24" t="s">
        <v>91</v>
      </c>
      <c r="C100" s="25" t="s">
        <v>495</v>
      </c>
      <c r="D100" s="25" t="s">
        <v>534</v>
      </c>
      <c r="E100" s="25" t="s">
        <v>490</v>
      </c>
      <c r="F100" s="25" t="s">
        <v>485</v>
      </c>
      <c r="G100" s="26">
        <v>45217</v>
      </c>
      <c r="H100" s="26">
        <v>45534</v>
      </c>
      <c r="I100" s="26">
        <v>45306</v>
      </c>
      <c r="J100" s="27">
        <v>198</v>
      </c>
      <c r="K100" s="27">
        <v>74913.3</v>
      </c>
      <c r="L100" s="27">
        <v>8409.08</v>
      </c>
      <c r="M100" s="25" t="s">
        <v>481</v>
      </c>
      <c r="N100" s="25" t="s">
        <v>478</v>
      </c>
      <c r="O100" s="25" t="s">
        <v>475</v>
      </c>
      <c r="P100" s="28">
        <v>12</v>
      </c>
      <c r="Q100" s="23"/>
      <c r="R100" s="23"/>
      <c r="S100" s="23"/>
      <c r="T100" s="23"/>
      <c r="U100" s="23"/>
      <c r="V100" s="23"/>
    </row>
    <row r="101" spans="1:22" x14ac:dyDescent="0.3">
      <c r="A101" s="23"/>
      <c r="B101" s="24" t="s">
        <v>92</v>
      </c>
      <c r="C101" s="25" t="s">
        <v>495</v>
      </c>
      <c r="D101" s="25" t="s">
        <v>536</v>
      </c>
      <c r="E101" s="25" t="s">
        <v>490</v>
      </c>
      <c r="F101" s="25" t="s">
        <v>486</v>
      </c>
      <c r="G101" s="26">
        <v>45574</v>
      </c>
      <c r="H101" s="26">
        <v>45390</v>
      </c>
      <c r="I101" s="26">
        <v>45019</v>
      </c>
      <c r="J101" s="27">
        <v>460</v>
      </c>
      <c r="K101" s="27">
        <v>91829.8</v>
      </c>
      <c r="L101" s="27">
        <v>6377.61</v>
      </c>
      <c r="M101" s="25" t="s">
        <v>482</v>
      </c>
      <c r="N101" s="25" t="s">
        <v>480</v>
      </c>
      <c r="O101" s="25" t="s">
        <v>475</v>
      </c>
      <c r="P101" s="28">
        <v>16</v>
      </c>
      <c r="Q101" s="23"/>
      <c r="R101" s="23"/>
      <c r="S101" s="23"/>
      <c r="T101" s="23"/>
      <c r="U101" s="23"/>
      <c r="V101" s="23"/>
    </row>
    <row r="102" spans="1:22" x14ac:dyDescent="0.3">
      <c r="A102" s="23"/>
      <c r="B102" s="24" t="s">
        <v>93</v>
      </c>
      <c r="C102" s="25" t="s">
        <v>495</v>
      </c>
      <c r="D102" s="25" t="s">
        <v>536</v>
      </c>
      <c r="E102" s="25" t="s">
        <v>490</v>
      </c>
      <c r="F102" s="25" t="s">
        <v>487</v>
      </c>
      <c r="G102" s="26">
        <v>45070</v>
      </c>
      <c r="H102" s="26">
        <v>45334</v>
      </c>
      <c r="I102" s="26">
        <v>45584</v>
      </c>
      <c r="J102" s="27">
        <v>537</v>
      </c>
      <c r="K102" s="27">
        <v>159687.69</v>
      </c>
      <c r="L102" s="27">
        <v>8265.82</v>
      </c>
      <c r="M102" s="25" t="s">
        <v>482</v>
      </c>
      <c r="N102" s="25" t="s">
        <v>480</v>
      </c>
      <c r="O102" s="25" t="s">
        <v>475</v>
      </c>
      <c r="P102" s="28">
        <v>22</v>
      </c>
      <c r="Q102" s="23"/>
      <c r="R102" s="23"/>
      <c r="S102" s="23"/>
      <c r="T102" s="23"/>
      <c r="U102" s="23"/>
      <c r="V102" s="23"/>
    </row>
    <row r="103" spans="1:22" x14ac:dyDescent="0.3">
      <c r="A103" s="23"/>
      <c r="B103" s="24" t="s">
        <v>94</v>
      </c>
      <c r="C103" s="25" t="s">
        <v>495</v>
      </c>
      <c r="D103" s="25" t="s">
        <v>536</v>
      </c>
      <c r="E103" s="25" t="s">
        <v>491</v>
      </c>
      <c r="F103" s="25" t="s">
        <v>487</v>
      </c>
      <c r="G103" s="26">
        <v>45032</v>
      </c>
      <c r="H103" s="26">
        <v>45015</v>
      </c>
      <c r="I103" s="26">
        <v>45133</v>
      </c>
      <c r="J103" s="27">
        <v>146</v>
      </c>
      <c r="K103" s="27">
        <v>48501.2</v>
      </c>
      <c r="L103" s="27">
        <v>5548.99</v>
      </c>
      <c r="M103" s="25" t="s">
        <v>484</v>
      </c>
      <c r="N103" s="25" t="s">
        <v>480</v>
      </c>
      <c r="O103" s="25" t="s">
        <v>476</v>
      </c>
      <c r="P103" s="28">
        <v>8</v>
      </c>
      <c r="Q103" s="23"/>
      <c r="R103" s="23"/>
      <c r="S103" s="23"/>
      <c r="T103" s="23"/>
      <c r="U103" s="23"/>
      <c r="V103" s="23"/>
    </row>
    <row r="104" spans="1:22" x14ac:dyDescent="0.3">
      <c r="A104" s="23"/>
      <c r="B104" s="24" t="s">
        <v>95</v>
      </c>
      <c r="C104" s="25" t="s">
        <v>494</v>
      </c>
      <c r="D104" s="25" t="s">
        <v>534</v>
      </c>
      <c r="E104" s="25" t="s">
        <v>490</v>
      </c>
      <c r="F104" s="25" t="s">
        <v>486</v>
      </c>
      <c r="G104" s="26">
        <v>45346</v>
      </c>
      <c r="H104" s="26">
        <v>44971</v>
      </c>
      <c r="I104" s="26">
        <v>45669</v>
      </c>
      <c r="J104" s="27">
        <v>352</v>
      </c>
      <c r="K104" s="27">
        <v>15431.68</v>
      </c>
      <c r="L104" s="27">
        <v>8866.6299999999992</v>
      </c>
      <c r="M104" s="25" t="s">
        <v>484</v>
      </c>
      <c r="N104" s="25" t="s">
        <v>477</v>
      </c>
      <c r="O104" s="25" t="s">
        <v>475</v>
      </c>
      <c r="P104" s="28">
        <v>16</v>
      </c>
      <c r="Q104" s="23"/>
      <c r="R104" s="23"/>
      <c r="S104" s="23"/>
      <c r="T104" s="23"/>
      <c r="U104" s="23"/>
      <c r="V104" s="23"/>
    </row>
    <row r="105" spans="1:22" x14ac:dyDescent="0.3">
      <c r="A105" s="23"/>
      <c r="B105" s="24" t="s">
        <v>96</v>
      </c>
      <c r="C105" s="25" t="s">
        <v>493</v>
      </c>
      <c r="D105" s="25" t="s">
        <v>534</v>
      </c>
      <c r="E105" s="25" t="s">
        <v>490</v>
      </c>
      <c r="F105" s="25" t="s">
        <v>488</v>
      </c>
      <c r="G105" s="26">
        <v>45596</v>
      </c>
      <c r="H105" s="26">
        <v>45388</v>
      </c>
      <c r="I105" s="26">
        <v>45264</v>
      </c>
      <c r="J105" s="27">
        <v>95</v>
      </c>
      <c r="K105" s="27">
        <v>26080.35</v>
      </c>
      <c r="L105" s="27">
        <v>5948.76</v>
      </c>
      <c r="M105" s="25" t="s">
        <v>483</v>
      </c>
      <c r="N105" s="25" t="s">
        <v>477</v>
      </c>
      <c r="O105" s="25" t="s">
        <v>476</v>
      </c>
      <c r="P105" s="28">
        <v>28</v>
      </c>
      <c r="Q105" s="23"/>
      <c r="R105" s="23"/>
      <c r="S105" s="23"/>
      <c r="T105" s="23"/>
      <c r="U105" s="23"/>
      <c r="V105" s="23"/>
    </row>
    <row r="106" spans="1:22" x14ac:dyDescent="0.3">
      <c r="A106" s="23"/>
      <c r="B106" s="24" t="s">
        <v>97</v>
      </c>
      <c r="C106" s="25" t="s">
        <v>493</v>
      </c>
      <c r="D106" s="25" t="s">
        <v>535</v>
      </c>
      <c r="E106" s="25" t="s">
        <v>490</v>
      </c>
      <c r="F106" s="25" t="s">
        <v>488</v>
      </c>
      <c r="G106" s="26">
        <v>45584</v>
      </c>
      <c r="H106" s="26">
        <v>45205</v>
      </c>
      <c r="I106" s="26">
        <v>45152</v>
      </c>
      <c r="J106" s="27">
        <v>505</v>
      </c>
      <c r="K106" s="27">
        <v>179835.55000000002</v>
      </c>
      <c r="L106" s="27">
        <v>7604.96</v>
      </c>
      <c r="M106" s="25" t="s">
        <v>483</v>
      </c>
      <c r="N106" s="25" t="s">
        <v>477</v>
      </c>
      <c r="O106" s="25" t="s">
        <v>476</v>
      </c>
      <c r="P106" s="28">
        <v>1</v>
      </c>
      <c r="Q106" s="23"/>
      <c r="R106" s="23"/>
      <c r="S106" s="23"/>
      <c r="T106" s="23"/>
      <c r="U106" s="23"/>
      <c r="V106" s="23"/>
    </row>
    <row r="107" spans="1:22" x14ac:dyDescent="0.3">
      <c r="A107" s="23"/>
      <c r="B107" s="24" t="s">
        <v>98</v>
      </c>
      <c r="C107" s="25" t="s">
        <v>495</v>
      </c>
      <c r="D107" s="25" t="s">
        <v>535</v>
      </c>
      <c r="E107" s="25" t="s">
        <v>492</v>
      </c>
      <c r="F107" s="25" t="s">
        <v>486</v>
      </c>
      <c r="G107" s="26">
        <v>44928</v>
      </c>
      <c r="H107" s="26">
        <v>45610</v>
      </c>
      <c r="I107" s="26">
        <v>44971</v>
      </c>
      <c r="J107" s="27">
        <v>421</v>
      </c>
      <c r="K107" s="27">
        <v>36972.219999999994</v>
      </c>
      <c r="L107" s="27">
        <v>6159</v>
      </c>
      <c r="M107" s="25" t="s">
        <v>484</v>
      </c>
      <c r="N107" s="25" t="s">
        <v>480</v>
      </c>
      <c r="O107" s="25" t="s">
        <v>475</v>
      </c>
      <c r="P107" s="28">
        <v>18</v>
      </c>
      <c r="Q107" s="23"/>
      <c r="R107" s="23"/>
      <c r="S107" s="23"/>
      <c r="T107" s="23"/>
      <c r="U107" s="23"/>
      <c r="V107" s="23"/>
    </row>
    <row r="108" spans="1:22" x14ac:dyDescent="0.3">
      <c r="A108" s="23"/>
      <c r="B108" s="24" t="s">
        <v>99</v>
      </c>
      <c r="C108" s="25" t="s">
        <v>493</v>
      </c>
      <c r="D108" s="25" t="s">
        <v>534</v>
      </c>
      <c r="E108" s="25" t="s">
        <v>492</v>
      </c>
      <c r="F108" s="25" t="s">
        <v>486</v>
      </c>
      <c r="G108" s="26">
        <v>45515</v>
      </c>
      <c r="H108" s="26">
        <v>45348</v>
      </c>
      <c r="I108" s="26">
        <v>45638</v>
      </c>
      <c r="J108" s="27">
        <v>470</v>
      </c>
      <c r="K108" s="27">
        <v>183962.7</v>
      </c>
      <c r="L108" s="27">
        <v>5973.27</v>
      </c>
      <c r="M108" s="25" t="s">
        <v>482</v>
      </c>
      <c r="N108" s="25" t="s">
        <v>477</v>
      </c>
      <c r="O108" s="25" t="s">
        <v>475</v>
      </c>
      <c r="P108" s="28">
        <v>18</v>
      </c>
      <c r="Q108" s="23"/>
      <c r="R108" s="23"/>
      <c r="S108" s="23"/>
      <c r="T108" s="23"/>
      <c r="U108" s="23"/>
      <c r="V108" s="23"/>
    </row>
    <row r="109" spans="1:22" x14ac:dyDescent="0.3">
      <c r="A109" s="23"/>
      <c r="B109" s="24" t="s">
        <v>100</v>
      </c>
      <c r="C109" s="25" t="s">
        <v>493</v>
      </c>
      <c r="D109" s="25" t="s">
        <v>534</v>
      </c>
      <c r="E109" s="25" t="s">
        <v>490</v>
      </c>
      <c r="F109" s="25" t="s">
        <v>488</v>
      </c>
      <c r="G109" s="26">
        <v>45570</v>
      </c>
      <c r="H109" s="26">
        <v>45628</v>
      </c>
      <c r="I109" s="26">
        <v>44998</v>
      </c>
      <c r="J109" s="27">
        <v>504</v>
      </c>
      <c r="K109" s="27">
        <v>148160.88</v>
      </c>
      <c r="L109" s="27">
        <v>8218.76</v>
      </c>
      <c r="M109" s="25" t="s">
        <v>484</v>
      </c>
      <c r="N109" s="25" t="s">
        <v>477</v>
      </c>
      <c r="O109" s="25" t="s">
        <v>476</v>
      </c>
      <c r="P109" s="28">
        <v>23</v>
      </c>
      <c r="Q109" s="23"/>
      <c r="R109" s="23"/>
      <c r="S109" s="23"/>
      <c r="T109" s="23"/>
      <c r="U109" s="23"/>
      <c r="V109" s="23"/>
    </row>
    <row r="110" spans="1:22" x14ac:dyDescent="0.3">
      <c r="A110" s="23"/>
      <c r="B110" s="24" t="s">
        <v>101</v>
      </c>
      <c r="C110" s="25" t="s">
        <v>495</v>
      </c>
      <c r="D110" s="25" t="s">
        <v>534</v>
      </c>
      <c r="E110" s="25" t="s">
        <v>490</v>
      </c>
      <c r="F110" s="25" t="s">
        <v>485</v>
      </c>
      <c r="G110" s="26">
        <v>45016</v>
      </c>
      <c r="H110" s="26">
        <v>45280</v>
      </c>
      <c r="I110" s="26">
        <v>45444</v>
      </c>
      <c r="J110" s="27">
        <v>425</v>
      </c>
      <c r="K110" s="27">
        <v>202448.75</v>
      </c>
      <c r="L110" s="27">
        <v>9516.8799999999992</v>
      </c>
      <c r="M110" s="25" t="s">
        <v>481</v>
      </c>
      <c r="N110" s="25" t="s">
        <v>480</v>
      </c>
      <c r="O110" s="25" t="s">
        <v>476</v>
      </c>
      <c r="P110" s="28">
        <v>6</v>
      </c>
      <c r="Q110" s="23"/>
      <c r="R110" s="23"/>
      <c r="S110" s="23"/>
      <c r="T110" s="23"/>
      <c r="U110" s="23"/>
      <c r="V110" s="23"/>
    </row>
    <row r="111" spans="1:22" x14ac:dyDescent="0.3">
      <c r="A111" s="23"/>
      <c r="B111" s="24" t="s">
        <v>102</v>
      </c>
      <c r="C111" s="25" t="s">
        <v>493</v>
      </c>
      <c r="D111" s="25" t="s">
        <v>534</v>
      </c>
      <c r="E111" s="25" t="s">
        <v>490</v>
      </c>
      <c r="F111" s="25" t="s">
        <v>488</v>
      </c>
      <c r="G111" s="26">
        <v>45271</v>
      </c>
      <c r="H111" s="26">
        <v>45623</v>
      </c>
      <c r="I111" s="26">
        <v>45567</v>
      </c>
      <c r="J111" s="27">
        <v>504</v>
      </c>
      <c r="K111" s="27">
        <v>13104</v>
      </c>
      <c r="L111" s="27">
        <v>8456.4699999999993</v>
      </c>
      <c r="M111" s="25" t="s">
        <v>481</v>
      </c>
      <c r="N111" s="25" t="s">
        <v>480</v>
      </c>
      <c r="O111" s="25" t="s">
        <v>475</v>
      </c>
      <c r="P111" s="28">
        <v>21</v>
      </c>
      <c r="Q111" s="23"/>
      <c r="R111" s="23"/>
      <c r="S111" s="23"/>
      <c r="T111" s="23"/>
      <c r="U111" s="23"/>
      <c r="V111" s="23"/>
    </row>
    <row r="112" spans="1:22" x14ac:dyDescent="0.3">
      <c r="A112" s="23"/>
      <c r="B112" s="24" t="s">
        <v>103</v>
      </c>
      <c r="C112" s="25" t="s">
        <v>496</v>
      </c>
      <c r="D112" s="25" t="s">
        <v>535</v>
      </c>
      <c r="E112" s="25" t="s">
        <v>490</v>
      </c>
      <c r="F112" s="25" t="s">
        <v>488</v>
      </c>
      <c r="G112" s="26">
        <v>45385</v>
      </c>
      <c r="H112" s="26">
        <v>45630</v>
      </c>
      <c r="I112" s="26">
        <v>45528</v>
      </c>
      <c r="J112" s="27">
        <v>366</v>
      </c>
      <c r="K112" s="27">
        <v>110813.81999999999</v>
      </c>
      <c r="L112" s="27">
        <v>6695.29</v>
      </c>
      <c r="M112" s="25" t="s">
        <v>481</v>
      </c>
      <c r="N112" s="25" t="s">
        <v>480</v>
      </c>
      <c r="O112" s="25" t="s">
        <v>475</v>
      </c>
      <c r="P112" s="28">
        <v>9</v>
      </c>
      <c r="Q112" s="23"/>
      <c r="R112" s="23"/>
      <c r="S112" s="23"/>
      <c r="T112" s="23"/>
      <c r="U112" s="23"/>
      <c r="V112" s="23"/>
    </row>
    <row r="113" spans="1:22" x14ac:dyDescent="0.3">
      <c r="A113" s="23"/>
      <c r="B113" s="24" t="s">
        <v>104</v>
      </c>
      <c r="C113" s="25" t="s">
        <v>496</v>
      </c>
      <c r="D113" s="25" t="s">
        <v>535</v>
      </c>
      <c r="E113" s="25" t="s">
        <v>490</v>
      </c>
      <c r="F113" s="25" t="s">
        <v>486</v>
      </c>
      <c r="G113" s="26">
        <v>45189</v>
      </c>
      <c r="H113" s="26">
        <v>45557</v>
      </c>
      <c r="I113" s="26">
        <v>45562</v>
      </c>
      <c r="J113" s="27">
        <v>340</v>
      </c>
      <c r="K113" s="27">
        <v>51612.000000000007</v>
      </c>
      <c r="L113" s="27">
        <v>5890.02</v>
      </c>
      <c r="M113" s="25" t="s">
        <v>481</v>
      </c>
      <c r="N113" s="25" t="s">
        <v>478</v>
      </c>
      <c r="O113" s="25" t="s">
        <v>475</v>
      </c>
      <c r="P113" s="28">
        <v>9</v>
      </c>
      <c r="Q113" s="23"/>
      <c r="R113" s="23"/>
      <c r="S113" s="23"/>
      <c r="T113" s="23"/>
      <c r="U113" s="23"/>
      <c r="V113" s="23"/>
    </row>
    <row r="114" spans="1:22" x14ac:dyDescent="0.3">
      <c r="A114" s="23"/>
      <c r="B114" s="24" t="s">
        <v>105</v>
      </c>
      <c r="C114" s="25" t="s">
        <v>495</v>
      </c>
      <c r="D114" s="25" t="s">
        <v>536</v>
      </c>
      <c r="E114" s="25" t="s">
        <v>490</v>
      </c>
      <c r="F114" s="25" t="s">
        <v>487</v>
      </c>
      <c r="G114" s="26">
        <v>45277</v>
      </c>
      <c r="H114" s="26">
        <v>44946</v>
      </c>
      <c r="I114" s="26">
        <v>45057</v>
      </c>
      <c r="J114" s="27">
        <v>74</v>
      </c>
      <c r="K114" s="27">
        <v>26539.360000000001</v>
      </c>
      <c r="L114" s="27">
        <v>3624.13</v>
      </c>
      <c r="M114" s="25" t="s">
        <v>481</v>
      </c>
      <c r="N114" s="25" t="s">
        <v>478</v>
      </c>
      <c r="O114" s="25" t="s">
        <v>476</v>
      </c>
      <c r="P114" s="28">
        <v>26</v>
      </c>
      <c r="Q114" s="23"/>
      <c r="R114" s="23"/>
      <c r="S114" s="23"/>
      <c r="T114" s="23"/>
      <c r="U114" s="23"/>
      <c r="V114" s="23"/>
    </row>
    <row r="115" spans="1:22" x14ac:dyDescent="0.3">
      <c r="A115" s="23"/>
      <c r="B115" s="24" t="s">
        <v>106</v>
      </c>
      <c r="C115" s="25" t="s">
        <v>494</v>
      </c>
      <c r="D115" s="25" t="s">
        <v>536</v>
      </c>
      <c r="E115" s="25" t="s">
        <v>491</v>
      </c>
      <c r="F115" s="25" t="s">
        <v>487</v>
      </c>
      <c r="G115" s="26">
        <v>45034</v>
      </c>
      <c r="H115" s="26">
        <v>44950</v>
      </c>
      <c r="I115" s="26">
        <v>45185</v>
      </c>
      <c r="J115" s="27">
        <v>391</v>
      </c>
      <c r="K115" s="27">
        <v>148857.60999999999</v>
      </c>
      <c r="L115" s="27">
        <v>6764.12</v>
      </c>
      <c r="M115" s="25" t="s">
        <v>482</v>
      </c>
      <c r="N115" s="25" t="s">
        <v>478</v>
      </c>
      <c r="O115" s="25" t="s">
        <v>475</v>
      </c>
      <c r="P115" s="28">
        <v>19</v>
      </c>
      <c r="Q115" s="23"/>
      <c r="R115" s="23"/>
      <c r="S115" s="23"/>
      <c r="T115" s="23"/>
      <c r="U115" s="23"/>
      <c r="V115" s="23"/>
    </row>
    <row r="116" spans="1:22" x14ac:dyDescent="0.3">
      <c r="A116" s="23"/>
      <c r="B116" s="24" t="s">
        <v>106</v>
      </c>
      <c r="C116" s="25" t="s">
        <v>495</v>
      </c>
      <c r="D116" s="25" t="s">
        <v>536</v>
      </c>
      <c r="E116" s="25" t="s">
        <v>490</v>
      </c>
      <c r="F116" s="25" t="s">
        <v>485</v>
      </c>
      <c r="G116" s="26">
        <v>45512</v>
      </c>
      <c r="H116" s="26">
        <v>45340</v>
      </c>
      <c r="I116" s="26">
        <v>45625</v>
      </c>
      <c r="J116" s="27">
        <v>320</v>
      </c>
      <c r="K116" s="27">
        <v>17840</v>
      </c>
      <c r="L116" s="27">
        <v>2115.0300000000002</v>
      </c>
      <c r="M116" s="25" t="s">
        <v>482</v>
      </c>
      <c r="N116" s="25" t="s">
        <v>478</v>
      </c>
      <c r="O116" s="25" t="s">
        <v>475</v>
      </c>
      <c r="P116" s="28">
        <v>8</v>
      </c>
      <c r="Q116" s="23"/>
      <c r="R116" s="23"/>
      <c r="S116" s="23"/>
      <c r="T116" s="23"/>
      <c r="U116" s="23"/>
      <c r="V116" s="23"/>
    </row>
    <row r="117" spans="1:22" x14ac:dyDescent="0.3">
      <c r="A117" s="23"/>
      <c r="B117" s="24" t="s">
        <v>107</v>
      </c>
      <c r="C117" s="25" t="s">
        <v>494</v>
      </c>
      <c r="D117" s="25" t="s">
        <v>536</v>
      </c>
      <c r="E117" s="25" t="s">
        <v>492</v>
      </c>
      <c r="F117" s="25" t="s">
        <v>485</v>
      </c>
      <c r="G117" s="26">
        <v>44965</v>
      </c>
      <c r="H117" s="26">
        <v>44957</v>
      </c>
      <c r="I117" s="26">
        <v>44946</v>
      </c>
      <c r="J117" s="27">
        <v>425</v>
      </c>
      <c r="K117" s="27">
        <v>110228</v>
      </c>
      <c r="L117" s="27">
        <v>2186.2199999999998</v>
      </c>
      <c r="M117" s="25" t="s">
        <v>484</v>
      </c>
      <c r="N117" s="25" t="s">
        <v>480</v>
      </c>
      <c r="O117" s="25" t="s">
        <v>474</v>
      </c>
      <c r="P117" s="28">
        <v>16</v>
      </c>
      <c r="Q117" s="23"/>
      <c r="R117" s="23"/>
      <c r="S117" s="23"/>
      <c r="T117" s="23"/>
      <c r="U117" s="23"/>
      <c r="V117" s="23"/>
    </row>
    <row r="118" spans="1:22" x14ac:dyDescent="0.3">
      <c r="A118" s="23"/>
      <c r="B118" s="24" t="s">
        <v>108</v>
      </c>
      <c r="C118" s="25" t="s">
        <v>496</v>
      </c>
      <c r="D118" s="25" t="s">
        <v>534</v>
      </c>
      <c r="E118" s="25" t="s">
        <v>490</v>
      </c>
      <c r="F118" s="25" t="s">
        <v>487</v>
      </c>
      <c r="G118" s="26">
        <v>45085</v>
      </c>
      <c r="H118" s="26">
        <v>45035</v>
      </c>
      <c r="I118" s="26">
        <v>45407</v>
      </c>
      <c r="J118" s="27">
        <v>137</v>
      </c>
      <c r="K118" s="27">
        <v>35195.299999999996</v>
      </c>
      <c r="L118" s="27">
        <v>575.01</v>
      </c>
      <c r="M118" s="25" t="s">
        <v>484</v>
      </c>
      <c r="N118" s="25" t="s">
        <v>480</v>
      </c>
      <c r="O118" s="25" t="s">
        <v>474</v>
      </c>
      <c r="P118" s="28">
        <v>26</v>
      </c>
      <c r="Q118" s="23"/>
      <c r="R118" s="23"/>
      <c r="S118" s="23"/>
      <c r="T118" s="23"/>
      <c r="U118" s="23"/>
      <c r="V118" s="23"/>
    </row>
    <row r="119" spans="1:22" x14ac:dyDescent="0.3">
      <c r="A119" s="23"/>
      <c r="B119" s="24" t="s">
        <v>109</v>
      </c>
      <c r="C119" s="25" t="s">
        <v>495</v>
      </c>
      <c r="D119" s="25" t="s">
        <v>534</v>
      </c>
      <c r="E119" s="25" t="s">
        <v>490</v>
      </c>
      <c r="F119" s="25" t="s">
        <v>486</v>
      </c>
      <c r="G119" s="26">
        <v>45509</v>
      </c>
      <c r="H119" s="26">
        <v>45294</v>
      </c>
      <c r="I119" s="26">
        <v>44992</v>
      </c>
      <c r="J119" s="27">
        <v>235</v>
      </c>
      <c r="K119" s="27">
        <v>44130.65</v>
      </c>
      <c r="L119" s="27">
        <v>3776.76</v>
      </c>
      <c r="M119" s="25" t="s">
        <v>481</v>
      </c>
      <c r="N119" s="25" t="s">
        <v>478</v>
      </c>
      <c r="O119" s="25" t="s">
        <v>475</v>
      </c>
      <c r="P119" s="28">
        <v>14</v>
      </c>
      <c r="Q119" s="23"/>
      <c r="R119" s="23"/>
      <c r="S119" s="23"/>
      <c r="T119" s="23"/>
      <c r="U119" s="23"/>
      <c r="V119" s="23"/>
    </row>
    <row r="120" spans="1:22" x14ac:dyDescent="0.3">
      <c r="A120" s="23"/>
      <c r="B120" s="24" t="s">
        <v>110</v>
      </c>
      <c r="C120" s="25" t="s">
        <v>495</v>
      </c>
      <c r="D120" s="25" t="s">
        <v>534</v>
      </c>
      <c r="E120" s="25" t="s">
        <v>491</v>
      </c>
      <c r="F120" s="25" t="s">
        <v>487</v>
      </c>
      <c r="G120" s="26">
        <v>45238</v>
      </c>
      <c r="H120" s="26">
        <v>45208</v>
      </c>
      <c r="I120" s="26">
        <v>45362</v>
      </c>
      <c r="J120" s="27">
        <v>316</v>
      </c>
      <c r="K120" s="27">
        <v>147508.80000000002</v>
      </c>
      <c r="L120" s="27">
        <v>8019.76</v>
      </c>
      <c r="M120" s="25" t="s">
        <v>484</v>
      </c>
      <c r="N120" s="25" t="s">
        <v>477</v>
      </c>
      <c r="O120" s="25" t="s">
        <v>476</v>
      </c>
      <c r="P120" s="28">
        <v>1</v>
      </c>
      <c r="Q120" s="23"/>
      <c r="R120" s="23"/>
      <c r="S120" s="23"/>
      <c r="T120" s="23"/>
      <c r="U120" s="23"/>
      <c r="V120" s="23"/>
    </row>
    <row r="121" spans="1:22" x14ac:dyDescent="0.3">
      <c r="A121" s="23"/>
      <c r="B121" s="24" t="s">
        <v>111</v>
      </c>
      <c r="C121" s="25" t="s">
        <v>493</v>
      </c>
      <c r="D121" s="25" t="s">
        <v>536</v>
      </c>
      <c r="E121" s="25" t="s">
        <v>491</v>
      </c>
      <c r="F121" s="25" t="s">
        <v>485</v>
      </c>
      <c r="G121" s="26">
        <v>45371</v>
      </c>
      <c r="H121" s="26">
        <v>45156</v>
      </c>
      <c r="I121" s="26">
        <v>45198</v>
      </c>
      <c r="J121" s="27">
        <v>20</v>
      </c>
      <c r="K121" s="27">
        <v>7002.4</v>
      </c>
      <c r="L121" s="27">
        <v>6116.49</v>
      </c>
      <c r="M121" s="25" t="s">
        <v>484</v>
      </c>
      <c r="N121" s="25" t="s">
        <v>480</v>
      </c>
      <c r="O121" s="25" t="s">
        <v>474</v>
      </c>
      <c r="P121" s="28">
        <v>29</v>
      </c>
      <c r="Q121" s="23"/>
      <c r="R121" s="23"/>
      <c r="S121" s="23"/>
      <c r="T121" s="23"/>
      <c r="U121" s="23"/>
      <c r="V121" s="23"/>
    </row>
    <row r="122" spans="1:22" x14ac:dyDescent="0.3">
      <c r="A122" s="23"/>
      <c r="B122" s="24" t="s">
        <v>111</v>
      </c>
      <c r="C122" s="25" t="s">
        <v>494</v>
      </c>
      <c r="D122" s="25" t="s">
        <v>536</v>
      </c>
      <c r="E122" s="25" t="s">
        <v>491</v>
      </c>
      <c r="F122" s="25" t="s">
        <v>486</v>
      </c>
      <c r="G122" s="26">
        <v>45224</v>
      </c>
      <c r="H122" s="26">
        <v>45038</v>
      </c>
      <c r="I122" s="26">
        <v>44965</v>
      </c>
      <c r="J122" s="27">
        <v>470</v>
      </c>
      <c r="K122" s="27">
        <v>109768.5</v>
      </c>
      <c r="L122" s="27">
        <v>9616.85</v>
      </c>
      <c r="M122" s="25" t="s">
        <v>484</v>
      </c>
      <c r="N122" s="25" t="s">
        <v>478</v>
      </c>
      <c r="O122" s="25" t="s">
        <v>476</v>
      </c>
      <c r="P122" s="28">
        <v>3</v>
      </c>
      <c r="Q122" s="23"/>
      <c r="R122" s="23"/>
      <c r="S122" s="23"/>
      <c r="T122" s="23"/>
      <c r="U122" s="23"/>
      <c r="V122" s="23"/>
    </row>
    <row r="123" spans="1:22" x14ac:dyDescent="0.3">
      <c r="A123" s="23"/>
      <c r="B123" s="24" t="s">
        <v>112</v>
      </c>
      <c r="C123" s="25" t="s">
        <v>495</v>
      </c>
      <c r="D123" s="25" t="s">
        <v>535</v>
      </c>
      <c r="E123" s="25" t="s">
        <v>492</v>
      </c>
      <c r="F123" s="25" t="s">
        <v>486</v>
      </c>
      <c r="G123" s="26">
        <v>44962</v>
      </c>
      <c r="H123" s="26">
        <v>45063</v>
      </c>
      <c r="I123" s="26">
        <v>45506</v>
      </c>
      <c r="J123" s="27">
        <v>470</v>
      </c>
      <c r="K123" s="27">
        <v>109768.5</v>
      </c>
      <c r="L123" s="27">
        <v>1054.73</v>
      </c>
      <c r="M123" s="25" t="s">
        <v>484</v>
      </c>
      <c r="N123" s="25" t="s">
        <v>480</v>
      </c>
      <c r="O123" s="25" t="s">
        <v>475</v>
      </c>
      <c r="P123" s="28">
        <v>18</v>
      </c>
      <c r="Q123" s="23"/>
      <c r="R123" s="23"/>
      <c r="S123" s="23"/>
      <c r="T123" s="23"/>
      <c r="U123" s="23"/>
      <c r="V123" s="23"/>
    </row>
    <row r="124" spans="1:22" x14ac:dyDescent="0.3">
      <c r="A124" s="23"/>
      <c r="B124" s="24" t="s">
        <v>113</v>
      </c>
      <c r="C124" s="25" t="s">
        <v>493</v>
      </c>
      <c r="D124" s="25" t="s">
        <v>536</v>
      </c>
      <c r="E124" s="25" t="s">
        <v>491</v>
      </c>
      <c r="F124" s="25" t="s">
        <v>485</v>
      </c>
      <c r="G124" s="26">
        <v>45010</v>
      </c>
      <c r="H124" s="26">
        <v>45289</v>
      </c>
      <c r="I124" s="26">
        <v>45424</v>
      </c>
      <c r="J124" s="27">
        <v>419</v>
      </c>
      <c r="K124" s="27">
        <v>193112.91</v>
      </c>
      <c r="L124" s="27">
        <v>2691.69</v>
      </c>
      <c r="M124" s="25" t="s">
        <v>482</v>
      </c>
      <c r="N124" s="25" t="s">
        <v>480</v>
      </c>
      <c r="O124" s="25" t="s">
        <v>475</v>
      </c>
      <c r="P124" s="28">
        <v>16</v>
      </c>
      <c r="Q124" s="23"/>
      <c r="R124" s="23"/>
      <c r="S124" s="23"/>
      <c r="T124" s="23"/>
      <c r="U124" s="23"/>
      <c r="V124" s="23"/>
    </row>
    <row r="125" spans="1:22" x14ac:dyDescent="0.3">
      <c r="A125" s="23"/>
      <c r="B125" s="24" t="s">
        <v>113</v>
      </c>
      <c r="C125" s="25" t="s">
        <v>493</v>
      </c>
      <c r="D125" s="25" t="s">
        <v>536</v>
      </c>
      <c r="E125" s="25" t="s">
        <v>492</v>
      </c>
      <c r="F125" s="25" t="s">
        <v>485</v>
      </c>
      <c r="G125" s="26">
        <v>45378</v>
      </c>
      <c r="H125" s="26">
        <v>45113</v>
      </c>
      <c r="I125" s="26">
        <v>45492</v>
      </c>
      <c r="J125" s="27">
        <v>581</v>
      </c>
      <c r="K125" s="27">
        <v>202664.41999999998</v>
      </c>
      <c r="L125" s="27">
        <v>4871.1499999999996</v>
      </c>
      <c r="M125" s="25" t="s">
        <v>482</v>
      </c>
      <c r="N125" s="25" t="s">
        <v>480</v>
      </c>
      <c r="O125" s="25" t="s">
        <v>475</v>
      </c>
      <c r="P125" s="28">
        <v>4</v>
      </c>
      <c r="Q125" s="23"/>
      <c r="R125" s="23"/>
      <c r="S125" s="23"/>
      <c r="T125" s="23"/>
      <c r="U125" s="23"/>
      <c r="V125" s="23"/>
    </row>
    <row r="126" spans="1:22" x14ac:dyDescent="0.3">
      <c r="A126" s="23"/>
      <c r="B126" s="24" t="s">
        <v>114</v>
      </c>
      <c r="C126" s="25" t="s">
        <v>495</v>
      </c>
      <c r="D126" s="25" t="s">
        <v>536</v>
      </c>
      <c r="E126" s="25" t="s">
        <v>490</v>
      </c>
      <c r="F126" s="25" t="s">
        <v>488</v>
      </c>
      <c r="G126" s="26">
        <v>45311</v>
      </c>
      <c r="H126" s="26">
        <v>45583</v>
      </c>
      <c r="I126" s="26">
        <v>45399</v>
      </c>
      <c r="J126" s="27">
        <v>445</v>
      </c>
      <c r="K126" s="27">
        <v>162803.25</v>
      </c>
      <c r="L126" s="27">
        <v>8851.64</v>
      </c>
      <c r="M126" s="25" t="s">
        <v>482</v>
      </c>
      <c r="N126" s="25" t="s">
        <v>477</v>
      </c>
      <c r="O126" s="25" t="s">
        <v>475</v>
      </c>
      <c r="P126" s="28">
        <v>6</v>
      </c>
      <c r="Q126" s="23"/>
      <c r="R126" s="23"/>
      <c r="S126" s="23"/>
      <c r="T126" s="23"/>
      <c r="U126" s="23"/>
      <c r="V126" s="23"/>
    </row>
    <row r="127" spans="1:22" x14ac:dyDescent="0.3">
      <c r="A127" s="23"/>
      <c r="B127" s="24" t="s">
        <v>115</v>
      </c>
      <c r="C127" s="25" t="s">
        <v>493</v>
      </c>
      <c r="D127" s="25" t="s">
        <v>535</v>
      </c>
      <c r="E127" s="25" t="s">
        <v>492</v>
      </c>
      <c r="F127" s="25" t="s">
        <v>488</v>
      </c>
      <c r="G127" s="26">
        <v>45098</v>
      </c>
      <c r="H127" s="26">
        <v>45511</v>
      </c>
      <c r="I127" s="26">
        <v>45591</v>
      </c>
      <c r="J127" s="27">
        <v>486</v>
      </c>
      <c r="K127" s="27">
        <v>209728.44</v>
      </c>
      <c r="L127" s="27">
        <v>2471.8000000000002</v>
      </c>
      <c r="M127" s="25" t="s">
        <v>482</v>
      </c>
      <c r="N127" s="25" t="s">
        <v>480</v>
      </c>
      <c r="O127" s="25" t="s">
        <v>476</v>
      </c>
      <c r="P127" s="28">
        <v>17</v>
      </c>
      <c r="Q127" s="23"/>
      <c r="R127" s="23"/>
      <c r="S127" s="23"/>
      <c r="T127" s="23"/>
      <c r="U127" s="23"/>
      <c r="V127" s="23"/>
    </row>
    <row r="128" spans="1:22" x14ac:dyDescent="0.3">
      <c r="A128" s="23"/>
      <c r="B128" s="24" t="s">
        <v>116</v>
      </c>
      <c r="C128" s="25" t="s">
        <v>493</v>
      </c>
      <c r="D128" s="25" t="s">
        <v>535</v>
      </c>
      <c r="E128" s="25" t="s">
        <v>492</v>
      </c>
      <c r="F128" s="25" t="s">
        <v>488</v>
      </c>
      <c r="G128" s="26">
        <v>45302</v>
      </c>
      <c r="H128" s="26">
        <v>45056</v>
      </c>
      <c r="I128" s="26">
        <v>45255</v>
      </c>
      <c r="J128" s="27">
        <v>259</v>
      </c>
      <c r="K128" s="27">
        <v>36433.53</v>
      </c>
      <c r="L128" s="27">
        <v>8379.34</v>
      </c>
      <c r="M128" s="25" t="s">
        <v>482</v>
      </c>
      <c r="N128" s="25" t="s">
        <v>477</v>
      </c>
      <c r="O128" s="25" t="s">
        <v>475</v>
      </c>
      <c r="P128" s="28">
        <v>20</v>
      </c>
      <c r="Q128" s="23"/>
      <c r="R128" s="23"/>
      <c r="S128" s="23"/>
      <c r="T128" s="23"/>
      <c r="U128" s="23"/>
      <c r="V128" s="23"/>
    </row>
    <row r="129" spans="1:22" x14ac:dyDescent="0.3">
      <c r="A129" s="23"/>
      <c r="B129" s="24" t="s">
        <v>117</v>
      </c>
      <c r="C129" s="25" t="s">
        <v>495</v>
      </c>
      <c r="D129" s="25" t="s">
        <v>535</v>
      </c>
      <c r="E129" s="25" t="s">
        <v>490</v>
      </c>
      <c r="F129" s="25" t="s">
        <v>488</v>
      </c>
      <c r="G129" s="26">
        <v>45611</v>
      </c>
      <c r="H129" s="26">
        <v>45188</v>
      </c>
      <c r="I129" s="26">
        <v>45234</v>
      </c>
      <c r="J129" s="27">
        <v>509</v>
      </c>
      <c r="K129" s="27">
        <v>205890.5</v>
      </c>
      <c r="L129" s="27">
        <v>8866.6299999999992</v>
      </c>
      <c r="M129" s="25" t="s">
        <v>481</v>
      </c>
      <c r="N129" s="25" t="s">
        <v>480</v>
      </c>
      <c r="O129" s="25" t="s">
        <v>475</v>
      </c>
      <c r="P129" s="28">
        <v>21</v>
      </c>
      <c r="Q129" s="23"/>
      <c r="R129" s="23"/>
      <c r="S129" s="23"/>
      <c r="T129" s="23"/>
      <c r="U129" s="23"/>
      <c r="V129" s="23"/>
    </row>
    <row r="130" spans="1:22" x14ac:dyDescent="0.3">
      <c r="A130" s="23"/>
      <c r="B130" s="24" t="s">
        <v>118</v>
      </c>
      <c r="C130" s="25" t="s">
        <v>493</v>
      </c>
      <c r="D130" s="25" t="s">
        <v>536</v>
      </c>
      <c r="E130" s="25" t="s">
        <v>492</v>
      </c>
      <c r="F130" s="25" t="s">
        <v>488</v>
      </c>
      <c r="G130" s="26">
        <v>45288</v>
      </c>
      <c r="H130" s="26">
        <v>45442</v>
      </c>
      <c r="I130" s="26">
        <v>45206</v>
      </c>
      <c r="J130" s="27">
        <v>511</v>
      </c>
      <c r="K130" s="27">
        <v>51938.04</v>
      </c>
      <c r="L130" s="27">
        <v>2852.08</v>
      </c>
      <c r="M130" s="25" t="s">
        <v>482</v>
      </c>
      <c r="N130" s="25" t="s">
        <v>478</v>
      </c>
      <c r="O130" s="25" t="s">
        <v>474</v>
      </c>
      <c r="P130" s="28">
        <v>26</v>
      </c>
      <c r="Q130" s="23"/>
      <c r="R130" s="23"/>
      <c r="S130" s="23"/>
      <c r="T130" s="23"/>
      <c r="U130" s="23"/>
      <c r="V130" s="23"/>
    </row>
    <row r="131" spans="1:22" x14ac:dyDescent="0.3">
      <c r="A131" s="23"/>
      <c r="B131" s="24" t="s">
        <v>119</v>
      </c>
      <c r="C131" s="25" t="s">
        <v>495</v>
      </c>
      <c r="D131" s="25" t="s">
        <v>535</v>
      </c>
      <c r="E131" s="25" t="s">
        <v>492</v>
      </c>
      <c r="F131" s="25" t="s">
        <v>486</v>
      </c>
      <c r="G131" s="26">
        <v>45485</v>
      </c>
      <c r="H131" s="26">
        <v>45376</v>
      </c>
      <c r="I131" s="26">
        <v>45614</v>
      </c>
      <c r="J131" s="27">
        <v>469</v>
      </c>
      <c r="K131" s="27">
        <v>82515.86</v>
      </c>
      <c r="L131" s="27">
        <v>7387.39</v>
      </c>
      <c r="M131" s="25" t="s">
        <v>484</v>
      </c>
      <c r="N131" s="25" t="s">
        <v>478</v>
      </c>
      <c r="O131" s="25" t="s">
        <v>474</v>
      </c>
      <c r="P131" s="28">
        <v>6</v>
      </c>
      <c r="Q131" s="23"/>
      <c r="R131" s="23"/>
      <c r="S131" s="23"/>
      <c r="T131" s="23"/>
      <c r="U131" s="23"/>
      <c r="V131" s="23"/>
    </row>
    <row r="132" spans="1:22" x14ac:dyDescent="0.3">
      <c r="A132" s="23"/>
      <c r="B132" s="24" t="s">
        <v>120</v>
      </c>
      <c r="C132" s="25" t="s">
        <v>495</v>
      </c>
      <c r="D132" s="25" t="s">
        <v>536</v>
      </c>
      <c r="E132" s="25" t="s">
        <v>490</v>
      </c>
      <c r="F132" s="25" t="s">
        <v>487</v>
      </c>
      <c r="G132" s="26">
        <v>45067</v>
      </c>
      <c r="H132" s="26">
        <v>45031</v>
      </c>
      <c r="I132" s="26">
        <v>45131</v>
      </c>
      <c r="J132" s="27">
        <v>207</v>
      </c>
      <c r="K132" s="27">
        <v>35423.909999999996</v>
      </c>
      <c r="L132" s="27">
        <v>5382.55</v>
      </c>
      <c r="M132" s="25" t="s">
        <v>484</v>
      </c>
      <c r="N132" s="25" t="s">
        <v>477</v>
      </c>
      <c r="O132" s="25" t="s">
        <v>474</v>
      </c>
      <c r="P132" s="28">
        <v>16</v>
      </c>
      <c r="Q132" s="23"/>
      <c r="R132" s="23"/>
      <c r="S132" s="23"/>
      <c r="T132" s="23"/>
      <c r="U132" s="23"/>
      <c r="V132" s="23"/>
    </row>
    <row r="133" spans="1:22" x14ac:dyDescent="0.3">
      <c r="A133" s="23"/>
      <c r="B133" s="24" t="s">
        <v>121</v>
      </c>
      <c r="C133" s="25" t="s">
        <v>496</v>
      </c>
      <c r="D133" s="25" t="s">
        <v>534</v>
      </c>
      <c r="E133" s="25" t="s">
        <v>490</v>
      </c>
      <c r="F133" s="25" t="s">
        <v>486</v>
      </c>
      <c r="G133" s="26">
        <v>45044</v>
      </c>
      <c r="H133" s="26">
        <v>45410</v>
      </c>
      <c r="I133" s="26">
        <v>45375</v>
      </c>
      <c r="J133" s="27">
        <v>265</v>
      </c>
      <c r="K133" s="27">
        <v>129683.05</v>
      </c>
      <c r="L133" s="27">
        <v>8988.9500000000007</v>
      </c>
      <c r="M133" s="25" t="s">
        <v>484</v>
      </c>
      <c r="N133" s="25" t="s">
        <v>480</v>
      </c>
      <c r="O133" s="25" t="s">
        <v>474</v>
      </c>
      <c r="P133" s="28">
        <v>6</v>
      </c>
      <c r="Q133" s="23"/>
      <c r="R133" s="23"/>
      <c r="S133" s="23"/>
      <c r="T133" s="23"/>
      <c r="U133" s="23"/>
      <c r="V133" s="23"/>
    </row>
    <row r="134" spans="1:22" x14ac:dyDescent="0.3">
      <c r="A134" s="23"/>
      <c r="B134" s="24" t="s">
        <v>122</v>
      </c>
      <c r="C134" s="25" t="s">
        <v>495</v>
      </c>
      <c r="D134" s="25" t="s">
        <v>536</v>
      </c>
      <c r="E134" s="25" t="s">
        <v>490</v>
      </c>
      <c r="F134" s="25" t="s">
        <v>485</v>
      </c>
      <c r="G134" s="26">
        <v>45203</v>
      </c>
      <c r="H134" s="26">
        <v>45151</v>
      </c>
      <c r="I134" s="26">
        <v>45254</v>
      </c>
      <c r="J134" s="27">
        <v>331</v>
      </c>
      <c r="K134" s="27">
        <v>141995.69</v>
      </c>
      <c r="L134" s="27">
        <v>1776.29</v>
      </c>
      <c r="M134" s="25" t="s">
        <v>484</v>
      </c>
      <c r="N134" s="25" t="s">
        <v>480</v>
      </c>
      <c r="O134" s="25" t="s">
        <v>475</v>
      </c>
      <c r="P134" s="28">
        <v>3</v>
      </c>
      <c r="Q134" s="23"/>
      <c r="R134" s="23"/>
      <c r="S134" s="23"/>
      <c r="T134" s="23"/>
      <c r="U134" s="23"/>
      <c r="V134" s="23"/>
    </row>
    <row r="135" spans="1:22" x14ac:dyDescent="0.3">
      <c r="A135" s="23"/>
      <c r="B135" s="24" t="s">
        <v>123</v>
      </c>
      <c r="C135" s="25" t="s">
        <v>493</v>
      </c>
      <c r="D135" s="25" t="s">
        <v>536</v>
      </c>
      <c r="E135" s="25" t="s">
        <v>490</v>
      </c>
      <c r="F135" s="25" t="s">
        <v>486</v>
      </c>
      <c r="G135" s="26">
        <v>45652</v>
      </c>
      <c r="H135" s="26">
        <v>45418</v>
      </c>
      <c r="I135" s="26">
        <v>44965</v>
      </c>
      <c r="J135" s="27">
        <v>422</v>
      </c>
      <c r="K135" s="27">
        <v>148577.75999999998</v>
      </c>
      <c r="L135" s="27">
        <v>3432.72</v>
      </c>
      <c r="M135" s="25" t="s">
        <v>484</v>
      </c>
      <c r="N135" s="25" t="s">
        <v>477</v>
      </c>
      <c r="O135" s="25" t="s">
        <v>474</v>
      </c>
      <c r="P135" s="28">
        <v>7</v>
      </c>
      <c r="Q135" s="23"/>
      <c r="R135" s="23"/>
      <c r="S135" s="23"/>
      <c r="T135" s="23"/>
      <c r="U135" s="23"/>
      <c r="V135" s="23"/>
    </row>
    <row r="136" spans="1:22" x14ac:dyDescent="0.3">
      <c r="A136" s="23"/>
      <c r="B136" s="24" t="s">
        <v>124</v>
      </c>
      <c r="C136" s="25" t="s">
        <v>495</v>
      </c>
      <c r="D136" s="25" t="s">
        <v>536</v>
      </c>
      <c r="E136" s="25" t="s">
        <v>490</v>
      </c>
      <c r="F136" s="25" t="s">
        <v>486</v>
      </c>
      <c r="G136" s="26">
        <v>45146</v>
      </c>
      <c r="H136" s="26">
        <v>45400</v>
      </c>
      <c r="I136" s="26">
        <v>45412</v>
      </c>
      <c r="J136" s="27">
        <v>315</v>
      </c>
      <c r="K136" s="27">
        <v>114940.34999999999</v>
      </c>
      <c r="L136" s="27">
        <v>5981.02</v>
      </c>
      <c r="M136" s="25" t="s">
        <v>482</v>
      </c>
      <c r="N136" s="25" t="s">
        <v>480</v>
      </c>
      <c r="O136" s="25" t="s">
        <v>474</v>
      </c>
      <c r="P136" s="28">
        <v>12</v>
      </c>
      <c r="Q136" s="23"/>
      <c r="R136" s="23"/>
      <c r="S136" s="23"/>
      <c r="T136" s="23"/>
      <c r="U136" s="23"/>
      <c r="V136" s="23"/>
    </row>
    <row r="137" spans="1:22" x14ac:dyDescent="0.3">
      <c r="A137" s="23"/>
      <c r="B137" s="24" t="s">
        <v>125</v>
      </c>
      <c r="C137" s="25" t="s">
        <v>496</v>
      </c>
      <c r="D137" s="25" t="s">
        <v>536</v>
      </c>
      <c r="E137" s="25" t="s">
        <v>490</v>
      </c>
      <c r="F137" s="25" t="s">
        <v>486</v>
      </c>
      <c r="G137" s="26">
        <v>44952</v>
      </c>
      <c r="H137" s="26">
        <v>44937</v>
      </c>
      <c r="I137" s="26">
        <v>45658</v>
      </c>
      <c r="J137" s="27">
        <v>572</v>
      </c>
      <c r="K137" s="27">
        <v>162007.56</v>
      </c>
      <c r="L137" s="27">
        <v>5951.92</v>
      </c>
      <c r="M137" s="25" t="s">
        <v>482</v>
      </c>
      <c r="N137" s="25" t="s">
        <v>480</v>
      </c>
      <c r="O137" s="25" t="s">
        <v>474</v>
      </c>
      <c r="P137" s="28">
        <v>3</v>
      </c>
      <c r="Q137" s="23"/>
      <c r="R137" s="23"/>
      <c r="S137" s="23"/>
      <c r="T137" s="23"/>
      <c r="U137" s="23"/>
      <c r="V137" s="23"/>
    </row>
    <row r="138" spans="1:22" x14ac:dyDescent="0.3">
      <c r="A138" s="23"/>
      <c r="B138" s="24" t="s">
        <v>126</v>
      </c>
      <c r="C138" s="25" t="s">
        <v>496</v>
      </c>
      <c r="D138" s="25" t="s">
        <v>536</v>
      </c>
      <c r="E138" s="25" t="s">
        <v>492</v>
      </c>
      <c r="F138" s="25" t="s">
        <v>486</v>
      </c>
      <c r="G138" s="26">
        <v>45447</v>
      </c>
      <c r="H138" s="26">
        <v>45332</v>
      </c>
      <c r="I138" s="26">
        <v>45410</v>
      </c>
      <c r="J138" s="27">
        <v>374</v>
      </c>
      <c r="K138" s="27">
        <v>177204.94</v>
      </c>
      <c r="L138" s="27">
        <v>3540.65</v>
      </c>
      <c r="M138" s="25" t="s">
        <v>482</v>
      </c>
      <c r="N138" s="25" t="s">
        <v>478</v>
      </c>
      <c r="O138" s="25" t="s">
        <v>474</v>
      </c>
      <c r="P138" s="28">
        <v>5</v>
      </c>
      <c r="Q138" s="23"/>
      <c r="R138" s="23"/>
      <c r="S138" s="23"/>
      <c r="T138" s="23"/>
      <c r="U138" s="23"/>
      <c r="V138" s="23"/>
    </row>
    <row r="139" spans="1:22" x14ac:dyDescent="0.3">
      <c r="A139" s="23"/>
      <c r="B139" s="24" t="s">
        <v>127</v>
      </c>
      <c r="C139" s="25" t="s">
        <v>494</v>
      </c>
      <c r="D139" s="25" t="s">
        <v>534</v>
      </c>
      <c r="E139" s="25" t="s">
        <v>491</v>
      </c>
      <c r="F139" s="25" t="s">
        <v>485</v>
      </c>
      <c r="G139" s="26">
        <v>44936</v>
      </c>
      <c r="H139" s="26">
        <v>45229</v>
      </c>
      <c r="I139" s="26">
        <v>44995</v>
      </c>
      <c r="J139" s="27">
        <v>408</v>
      </c>
      <c r="K139" s="27">
        <v>102265.2</v>
      </c>
      <c r="L139" s="27">
        <v>7088.6</v>
      </c>
      <c r="M139" s="25" t="s">
        <v>481</v>
      </c>
      <c r="N139" s="25" t="s">
        <v>480</v>
      </c>
      <c r="O139" s="25" t="s">
        <v>474</v>
      </c>
      <c r="P139" s="28">
        <v>24</v>
      </c>
      <c r="Q139" s="23"/>
      <c r="R139" s="23"/>
      <c r="S139" s="23"/>
      <c r="T139" s="23"/>
      <c r="U139" s="23"/>
      <c r="V139" s="23"/>
    </row>
    <row r="140" spans="1:22" x14ac:dyDescent="0.3">
      <c r="A140" s="23"/>
      <c r="B140" s="24" t="s">
        <v>128</v>
      </c>
      <c r="C140" s="25" t="s">
        <v>494</v>
      </c>
      <c r="D140" s="25" t="s">
        <v>534</v>
      </c>
      <c r="E140" s="25" t="s">
        <v>490</v>
      </c>
      <c r="F140" s="25" t="s">
        <v>487</v>
      </c>
      <c r="G140" s="26">
        <v>45304</v>
      </c>
      <c r="H140" s="26">
        <v>45158</v>
      </c>
      <c r="I140" s="26">
        <v>44938</v>
      </c>
      <c r="J140" s="27">
        <v>216</v>
      </c>
      <c r="K140" s="27">
        <v>41765.760000000002</v>
      </c>
      <c r="L140" s="27">
        <v>6223.71</v>
      </c>
      <c r="M140" s="25" t="s">
        <v>482</v>
      </c>
      <c r="N140" s="25" t="s">
        <v>477</v>
      </c>
      <c r="O140" s="25" t="s">
        <v>474</v>
      </c>
      <c r="P140" s="28">
        <v>4</v>
      </c>
      <c r="Q140" s="23"/>
      <c r="R140" s="23"/>
      <c r="S140" s="23"/>
      <c r="T140" s="23"/>
      <c r="U140" s="23"/>
      <c r="V140" s="23"/>
    </row>
    <row r="141" spans="1:22" x14ac:dyDescent="0.3">
      <c r="A141" s="23"/>
      <c r="B141" s="24" t="s">
        <v>129</v>
      </c>
      <c r="C141" s="25" t="s">
        <v>493</v>
      </c>
      <c r="D141" s="25" t="s">
        <v>535</v>
      </c>
      <c r="E141" s="25" t="s">
        <v>491</v>
      </c>
      <c r="F141" s="25" t="s">
        <v>488</v>
      </c>
      <c r="G141" s="26">
        <v>45559</v>
      </c>
      <c r="H141" s="26">
        <v>45658</v>
      </c>
      <c r="I141" s="26">
        <v>45231</v>
      </c>
      <c r="J141" s="27">
        <v>451</v>
      </c>
      <c r="K141" s="27">
        <v>38650.700000000004</v>
      </c>
      <c r="L141" s="27">
        <v>193.1</v>
      </c>
      <c r="M141" s="25" t="s">
        <v>482</v>
      </c>
      <c r="N141" s="25" t="s">
        <v>480</v>
      </c>
      <c r="O141" s="25" t="s">
        <v>474</v>
      </c>
      <c r="P141" s="28">
        <v>29</v>
      </c>
      <c r="Q141" s="23"/>
      <c r="R141" s="23"/>
      <c r="S141" s="23"/>
      <c r="T141" s="23"/>
      <c r="U141" s="23"/>
      <c r="V141" s="23"/>
    </row>
    <row r="142" spans="1:22" x14ac:dyDescent="0.3">
      <c r="A142" s="23"/>
      <c r="B142" s="24" t="s">
        <v>130</v>
      </c>
      <c r="C142" s="25" t="s">
        <v>495</v>
      </c>
      <c r="D142" s="25" t="s">
        <v>535</v>
      </c>
      <c r="E142" s="25" t="s">
        <v>491</v>
      </c>
      <c r="F142" s="25" t="s">
        <v>488</v>
      </c>
      <c r="G142" s="26">
        <v>45563</v>
      </c>
      <c r="H142" s="26">
        <v>44993</v>
      </c>
      <c r="I142" s="26">
        <v>45273</v>
      </c>
      <c r="J142" s="27">
        <v>486</v>
      </c>
      <c r="K142" s="27">
        <v>191566.62</v>
      </c>
      <c r="L142" s="27">
        <v>5040.1000000000004</v>
      </c>
      <c r="M142" s="25" t="s">
        <v>484</v>
      </c>
      <c r="N142" s="25" t="s">
        <v>477</v>
      </c>
      <c r="O142" s="25" t="s">
        <v>476</v>
      </c>
      <c r="P142" s="28">
        <v>11</v>
      </c>
      <c r="Q142" s="23"/>
      <c r="R142" s="23"/>
      <c r="S142" s="23"/>
      <c r="T142" s="23"/>
      <c r="U142" s="23"/>
      <c r="V142" s="23"/>
    </row>
    <row r="143" spans="1:22" x14ac:dyDescent="0.3">
      <c r="A143" s="23"/>
      <c r="B143" s="24" t="s">
        <v>131</v>
      </c>
      <c r="C143" s="25" t="s">
        <v>494</v>
      </c>
      <c r="D143" s="25" t="s">
        <v>535</v>
      </c>
      <c r="E143" s="25" t="s">
        <v>490</v>
      </c>
      <c r="F143" s="25" t="s">
        <v>487</v>
      </c>
      <c r="G143" s="26">
        <v>45608</v>
      </c>
      <c r="H143" s="26">
        <v>45039</v>
      </c>
      <c r="I143" s="26">
        <v>45361</v>
      </c>
      <c r="J143" s="27">
        <v>575</v>
      </c>
      <c r="K143" s="27">
        <v>211916.25</v>
      </c>
      <c r="L143" s="27">
        <v>1740.32</v>
      </c>
      <c r="M143" s="25" t="s">
        <v>484</v>
      </c>
      <c r="N143" s="25" t="s">
        <v>480</v>
      </c>
      <c r="O143" s="25" t="s">
        <v>476</v>
      </c>
      <c r="P143" s="28">
        <v>3</v>
      </c>
      <c r="Q143" s="23"/>
      <c r="R143" s="23"/>
      <c r="S143" s="23"/>
      <c r="T143" s="23"/>
      <c r="U143" s="23"/>
      <c r="V143" s="23"/>
    </row>
    <row r="144" spans="1:22" x14ac:dyDescent="0.3">
      <c r="A144" s="23"/>
      <c r="B144" s="24" t="s">
        <v>132</v>
      </c>
      <c r="C144" s="25" t="s">
        <v>494</v>
      </c>
      <c r="D144" s="25" t="s">
        <v>535</v>
      </c>
      <c r="E144" s="25" t="s">
        <v>490</v>
      </c>
      <c r="F144" s="25" t="s">
        <v>487</v>
      </c>
      <c r="G144" s="26">
        <v>45510</v>
      </c>
      <c r="H144" s="26">
        <v>44940</v>
      </c>
      <c r="I144" s="26">
        <v>45354</v>
      </c>
      <c r="J144" s="27">
        <v>467</v>
      </c>
      <c r="K144" s="27">
        <v>91186.42</v>
      </c>
      <c r="L144" s="27">
        <v>3705.54</v>
      </c>
      <c r="M144" s="25" t="s">
        <v>484</v>
      </c>
      <c r="N144" s="25" t="s">
        <v>477</v>
      </c>
      <c r="O144" s="25" t="s">
        <v>476</v>
      </c>
      <c r="P144" s="28">
        <v>23</v>
      </c>
      <c r="Q144" s="23"/>
      <c r="R144" s="23"/>
      <c r="S144" s="23"/>
      <c r="T144" s="23"/>
      <c r="U144" s="23"/>
      <c r="V144" s="23"/>
    </row>
    <row r="145" spans="1:22" x14ac:dyDescent="0.3">
      <c r="A145" s="23"/>
      <c r="B145" s="24" t="s">
        <v>133</v>
      </c>
      <c r="C145" s="25" t="s">
        <v>494</v>
      </c>
      <c r="D145" s="25" t="s">
        <v>535</v>
      </c>
      <c r="E145" s="25" t="s">
        <v>490</v>
      </c>
      <c r="F145" s="25" t="s">
        <v>485</v>
      </c>
      <c r="G145" s="26">
        <v>45078</v>
      </c>
      <c r="H145" s="26">
        <v>45320</v>
      </c>
      <c r="I145" s="26">
        <v>45262</v>
      </c>
      <c r="J145" s="27">
        <v>233</v>
      </c>
      <c r="K145" s="27">
        <v>4070.5099999999998</v>
      </c>
      <c r="L145" s="27">
        <v>7579.47</v>
      </c>
      <c r="M145" s="25" t="s">
        <v>484</v>
      </c>
      <c r="N145" s="25" t="s">
        <v>480</v>
      </c>
      <c r="O145" s="25" t="s">
        <v>476</v>
      </c>
      <c r="P145" s="28">
        <v>28</v>
      </c>
      <c r="Q145" s="23"/>
      <c r="R145" s="23"/>
      <c r="S145" s="23"/>
      <c r="T145" s="23"/>
      <c r="U145" s="23"/>
      <c r="V145" s="23"/>
    </row>
    <row r="146" spans="1:22" x14ac:dyDescent="0.3">
      <c r="A146" s="23"/>
      <c r="B146" s="24" t="s">
        <v>134</v>
      </c>
      <c r="C146" s="25" t="s">
        <v>495</v>
      </c>
      <c r="D146" s="25" t="s">
        <v>535</v>
      </c>
      <c r="E146" s="25" t="s">
        <v>490</v>
      </c>
      <c r="F146" s="25" t="s">
        <v>485</v>
      </c>
      <c r="G146" s="26">
        <v>45646</v>
      </c>
      <c r="H146" s="26">
        <v>45427</v>
      </c>
      <c r="I146" s="26">
        <v>45368</v>
      </c>
      <c r="J146" s="27">
        <v>322</v>
      </c>
      <c r="K146" s="27">
        <v>135336.6</v>
      </c>
      <c r="L146" s="27">
        <v>6116.49</v>
      </c>
      <c r="M146" s="25" t="s">
        <v>482</v>
      </c>
      <c r="N146" s="25" t="s">
        <v>479</v>
      </c>
      <c r="O146" s="25" t="s">
        <v>476</v>
      </c>
      <c r="P146" s="28">
        <v>8</v>
      </c>
      <c r="Q146" s="23"/>
      <c r="R146" s="23"/>
      <c r="S146" s="23"/>
      <c r="T146" s="23"/>
      <c r="U146" s="23"/>
      <c r="V146" s="23"/>
    </row>
    <row r="147" spans="1:22" x14ac:dyDescent="0.3">
      <c r="A147" s="23"/>
      <c r="B147" s="24" t="s">
        <v>135</v>
      </c>
      <c r="C147" s="25" t="s">
        <v>495</v>
      </c>
      <c r="D147" s="25" t="s">
        <v>535</v>
      </c>
      <c r="E147" s="25" t="s">
        <v>490</v>
      </c>
      <c r="F147" s="25" t="s">
        <v>485</v>
      </c>
      <c r="G147" s="26">
        <v>44975</v>
      </c>
      <c r="H147" s="26">
        <v>45525</v>
      </c>
      <c r="I147" s="26">
        <v>45518</v>
      </c>
      <c r="J147" s="27">
        <v>207</v>
      </c>
      <c r="K147" s="27">
        <v>2204.5500000000002</v>
      </c>
      <c r="L147" s="27">
        <v>5548.99</v>
      </c>
      <c r="M147" s="25" t="s">
        <v>481</v>
      </c>
      <c r="N147" s="25" t="s">
        <v>479</v>
      </c>
      <c r="O147" s="25" t="s">
        <v>475</v>
      </c>
      <c r="P147" s="28">
        <v>3</v>
      </c>
      <c r="Q147" s="23"/>
      <c r="R147" s="23"/>
      <c r="S147" s="23"/>
      <c r="T147" s="23"/>
      <c r="U147" s="23"/>
      <c r="V147" s="23"/>
    </row>
    <row r="148" spans="1:22" x14ac:dyDescent="0.3">
      <c r="A148" s="23"/>
      <c r="B148" s="24" t="s">
        <v>136</v>
      </c>
      <c r="C148" s="25" t="s">
        <v>495</v>
      </c>
      <c r="D148" s="25" t="s">
        <v>535</v>
      </c>
      <c r="E148" s="25" t="s">
        <v>490</v>
      </c>
      <c r="F148" s="25" t="s">
        <v>486</v>
      </c>
      <c r="G148" s="26">
        <v>45080</v>
      </c>
      <c r="H148" s="26">
        <v>45161</v>
      </c>
      <c r="I148" s="26">
        <v>45104</v>
      </c>
      <c r="J148" s="27">
        <v>519</v>
      </c>
      <c r="K148" s="27">
        <v>183378.27</v>
      </c>
      <c r="L148" s="27">
        <v>8960.85</v>
      </c>
      <c r="M148" s="25" t="s">
        <v>481</v>
      </c>
      <c r="N148" s="25" t="s">
        <v>479</v>
      </c>
      <c r="O148" s="25" t="s">
        <v>474</v>
      </c>
      <c r="P148" s="28">
        <v>18</v>
      </c>
      <c r="Q148" s="23"/>
      <c r="R148" s="23"/>
      <c r="S148" s="23"/>
      <c r="T148" s="23"/>
      <c r="U148" s="23"/>
      <c r="V148" s="23"/>
    </row>
    <row r="149" spans="1:22" x14ac:dyDescent="0.3">
      <c r="A149" s="23"/>
      <c r="B149" s="24" t="s">
        <v>137</v>
      </c>
      <c r="C149" s="25" t="s">
        <v>493</v>
      </c>
      <c r="D149" s="25" t="s">
        <v>534</v>
      </c>
      <c r="E149" s="25" t="s">
        <v>490</v>
      </c>
      <c r="F149" s="25" t="s">
        <v>486</v>
      </c>
      <c r="G149" s="26">
        <v>45219</v>
      </c>
      <c r="H149" s="26">
        <v>45529</v>
      </c>
      <c r="I149" s="26">
        <v>45489</v>
      </c>
      <c r="J149" s="27">
        <v>423</v>
      </c>
      <c r="K149" s="27">
        <v>205273.44</v>
      </c>
      <c r="L149" s="27">
        <v>9474.26</v>
      </c>
      <c r="M149" s="25" t="s">
        <v>484</v>
      </c>
      <c r="N149" s="25" t="s">
        <v>478</v>
      </c>
      <c r="O149" s="25" t="s">
        <v>474</v>
      </c>
      <c r="P149" s="28">
        <v>23</v>
      </c>
      <c r="Q149" s="23"/>
      <c r="R149" s="23"/>
      <c r="S149" s="23"/>
      <c r="T149" s="23"/>
      <c r="U149" s="23"/>
      <c r="V149" s="23"/>
    </row>
    <row r="150" spans="1:22" x14ac:dyDescent="0.3">
      <c r="A150" s="23"/>
      <c r="B150" s="24" t="s">
        <v>138</v>
      </c>
      <c r="C150" s="25" t="s">
        <v>493</v>
      </c>
      <c r="D150" s="25" t="s">
        <v>534</v>
      </c>
      <c r="E150" s="25" t="s">
        <v>490</v>
      </c>
      <c r="F150" s="25" t="s">
        <v>487</v>
      </c>
      <c r="G150" s="26">
        <v>45506</v>
      </c>
      <c r="H150" s="26">
        <v>45241</v>
      </c>
      <c r="I150" s="26">
        <v>45457</v>
      </c>
      <c r="J150" s="27">
        <v>99</v>
      </c>
      <c r="K150" s="27">
        <v>21942.359999999997</v>
      </c>
      <c r="L150" s="27">
        <v>7634.91</v>
      </c>
      <c r="M150" s="25" t="s">
        <v>483</v>
      </c>
      <c r="N150" s="25" t="s">
        <v>479</v>
      </c>
      <c r="O150" s="25" t="s">
        <v>475</v>
      </c>
      <c r="P150" s="28">
        <v>13</v>
      </c>
      <c r="Q150" s="23"/>
      <c r="R150" s="23"/>
      <c r="S150" s="23"/>
      <c r="T150" s="23"/>
      <c r="U150" s="23"/>
      <c r="V150" s="23"/>
    </row>
    <row r="151" spans="1:22" x14ac:dyDescent="0.3">
      <c r="A151" s="23"/>
      <c r="B151" s="24" t="s">
        <v>139</v>
      </c>
      <c r="C151" s="25" t="s">
        <v>494</v>
      </c>
      <c r="D151" s="25" t="s">
        <v>534</v>
      </c>
      <c r="E151" s="25" t="s">
        <v>490</v>
      </c>
      <c r="F151" s="25" t="s">
        <v>487</v>
      </c>
      <c r="G151" s="26">
        <v>44976</v>
      </c>
      <c r="H151" s="26">
        <v>45493</v>
      </c>
      <c r="I151" s="26">
        <v>45589</v>
      </c>
      <c r="J151" s="27">
        <v>504</v>
      </c>
      <c r="K151" s="27">
        <v>61140.24</v>
      </c>
      <c r="L151" s="27">
        <v>8274.18</v>
      </c>
      <c r="M151" s="25" t="s">
        <v>484</v>
      </c>
      <c r="N151" s="25" t="s">
        <v>477</v>
      </c>
      <c r="O151" s="25" t="s">
        <v>476</v>
      </c>
      <c r="P151" s="28">
        <v>4</v>
      </c>
      <c r="Q151" s="23"/>
      <c r="R151" s="23"/>
      <c r="S151" s="23"/>
      <c r="T151" s="23"/>
      <c r="U151" s="23"/>
      <c r="V151" s="23"/>
    </row>
    <row r="152" spans="1:22" x14ac:dyDescent="0.3">
      <c r="A152" s="23"/>
      <c r="B152" s="24" t="s">
        <v>140</v>
      </c>
      <c r="C152" s="25" t="s">
        <v>494</v>
      </c>
      <c r="D152" s="25" t="s">
        <v>534</v>
      </c>
      <c r="E152" s="25" t="s">
        <v>490</v>
      </c>
      <c r="F152" s="25" t="s">
        <v>486</v>
      </c>
      <c r="G152" s="26">
        <v>45590</v>
      </c>
      <c r="H152" s="26">
        <v>44939</v>
      </c>
      <c r="I152" s="26">
        <v>44956</v>
      </c>
      <c r="J152" s="27">
        <v>464</v>
      </c>
      <c r="K152" s="27">
        <v>164214.24000000002</v>
      </c>
      <c r="L152" s="27">
        <v>6258.78</v>
      </c>
      <c r="M152" s="25" t="s">
        <v>482</v>
      </c>
      <c r="N152" s="25" t="s">
        <v>478</v>
      </c>
      <c r="O152" s="25" t="s">
        <v>476</v>
      </c>
      <c r="P152" s="28">
        <v>17</v>
      </c>
      <c r="Q152" s="23"/>
      <c r="R152" s="23"/>
      <c r="S152" s="23"/>
      <c r="T152" s="23"/>
      <c r="U152" s="23"/>
      <c r="V152" s="23"/>
    </row>
    <row r="153" spans="1:22" x14ac:dyDescent="0.3">
      <c r="A153" s="23"/>
      <c r="B153" s="24" t="s">
        <v>141</v>
      </c>
      <c r="C153" s="25" t="s">
        <v>493</v>
      </c>
      <c r="D153" s="25" t="s">
        <v>536</v>
      </c>
      <c r="E153" s="25" t="s">
        <v>490</v>
      </c>
      <c r="F153" s="25" t="s">
        <v>486</v>
      </c>
      <c r="G153" s="26">
        <v>45457</v>
      </c>
      <c r="H153" s="26">
        <v>45136</v>
      </c>
      <c r="I153" s="26">
        <v>45535</v>
      </c>
      <c r="J153" s="27">
        <v>592</v>
      </c>
      <c r="K153" s="27">
        <v>242412.16</v>
      </c>
      <c r="L153" s="27">
        <v>9679.23</v>
      </c>
      <c r="M153" s="25" t="s">
        <v>482</v>
      </c>
      <c r="N153" s="25" t="s">
        <v>477</v>
      </c>
      <c r="O153" s="25" t="s">
        <v>476</v>
      </c>
      <c r="P153" s="28">
        <v>9</v>
      </c>
      <c r="Q153" s="23"/>
      <c r="R153" s="23"/>
      <c r="S153" s="23"/>
      <c r="T153" s="23"/>
      <c r="U153" s="23"/>
      <c r="V153" s="23"/>
    </row>
    <row r="154" spans="1:22" x14ac:dyDescent="0.3">
      <c r="A154" s="23"/>
      <c r="B154" s="24" t="s">
        <v>142</v>
      </c>
      <c r="C154" s="25" t="s">
        <v>493</v>
      </c>
      <c r="D154" s="25" t="s">
        <v>536</v>
      </c>
      <c r="E154" s="25" t="s">
        <v>492</v>
      </c>
      <c r="F154" s="25" t="s">
        <v>486</v>
      </c>
      <c r="G154" s="26">
        <v>45538</v>
      </c>
      <c r="H154" s="26">
        <v>44941</v>
      </c>
      <c r="I154" s="26">
        <v>45336</v>
      </c>
      <c r="J154" s="27">
        <v>320</v>
      </c>
      <c r="K154" s="27">
        <v>88153.600000000006</v>
      </c>
      <c r="L154" s="27">
        <v>6756.24</v>
      </c>
      <c r="M154" s="25" t="s">
        <v>481</v>
      </c>
      <c r="N154" s="25" t="s">
        <v>478</v>
      </c>
      <c r="O154" s="25" t="s">
        <v>475</v>
      </c>
      <c r="P154" s="28">
        <v>24</v>
      </c>
      <c r="Q154" s="23"/>
      <c r="R154" s="23"/>
      <c r="S154" s="23"/>
      <c r="T154" s="23"/>
      <c r="U154" s="23"/>
      <c r="V154" s="23"/>
    </row>
    <row r="155" spans="1:22" x14ac:dyDescent="0.3">
      <c r="A155" s="23"/>
      <c r="B155" s="24" t="s">
        <v>143</v>
      </c>
      <c r="C155" s="25" t="s">
        <v>495</v>
      </c>
      <c r="D155" s="25" t="s">
        <v>534</v>
      </c>
      <c r="E155" s="25" t="s">
        <v>492</v>
      </c>
      <c r="F155" s="25" t="s">
        <v>485</v>
      </c>
      <c r="G155" s="26">
        <v>44986</v>
      </c>
      <c r="H155" s="26">
        <v>45560</v>
      </c>
      <c r="I155" s="26">
        <v>45162</v>
      </c>
      <c r="J155" s="27">
        <v>88</v>
      </c>
      <c r="K155" s="27">
        <v>42563.840000000004</v>
      </c>
      <c r="L155" s="27">
        <v>1740.32</v>
      </c>
      <c r="M155" s="25" t="s">
        <v>482</v>
      </c>
      <c r="N155" s="25" t="s">
        <v>479</v>
      </c>
      <c r="O155" s="25" t="s">
        <v>476</v>
      </c>
      <c r="P155" s="28">
        <v>18</v>
      </c>
      <c r="Q155" s="23"/>
      <c r="R155" s="23"/>
      <c r="S155" s="23"/>
      <c r="T155" s="23"/>
      <c r="U155" s="23"/>
      <c r="V155" s="23"/>
    </row>
    <row r="156" spans="1:22" x14ac:dyDescent="0.3">
      <c r="A156" s="23"/>
      <c r="B156" s="24" t="s">
        <v>144</v>
      </c>
      <c r="C156" s="25" t="s">
        <v>494</v>
      </c>
      <c r="D156" s="25" t="s">
        <v>534</v>
      </c>
      <c r="E156" s="25" t="s">
        <v>492</v>
      </c>
      <c r="F156" s="25" t="s">
        <v>487</v>
      </c>
      <c r="G156" s="26">
        <v>45093</v>
      </c>
      <c r="H156" s="26">
        <v>45345</v>
      </c>
      <c r="I156" s="26">
        <v>45463</v>
      </c>
      <c r="J156" s="27">
        <v>174</v>
      </c>
      <c r="K156" s="27">
        <v>5320.92</v>
      </c>
      <c r="L156" s="27">
        <v>9285.41</v>
      </c>
      <c r="M156" s="25" t="s">
        <v>484</v>
      </c>
      <c r="N156" s="25" t="s">
        <v>477</v>
      </c>
      <c r="O156" s="25" t="s">
        <v>476</v>
      </c>
      <c r="P156" s="28">
        <v>11</v>
      </c>
      <c r="Q156" s="23"/>
      <c r="R156" s="23"/>
      <c r="S156" s="23"/>
      <c r="T156" s="23"/>
      <c r="U156" s="23"/>
      <c r="V156" s="23"/>
    </row>
    <row r="157" spans="1:22" x14ac:dyDescent="0.3">
      <c r="A157" s="23"/>
      <c r="B157" s="24" t="s">
        <v>145</v>
      </c>
      <c r="C157" s="25" t="s">
        <v>496</v>
      </c>
      <c r="D157" s="25" t="s">
        <v>534</v>
      </c>
      <c r="E157" s="25" t="s">
        <v>492</v>
      </c>
      <c r="F157" s="25" t="s">
        <v>487</v>
      </c>
      <c r="G157" s="26">
        <v>45128</v>
      </c>
      <c r="H157" s="26">
        <v>45364</v>
      </c>
      <c r="I157" s="26">
        <v>45480</v>
      </c>
      <c r="J157" s="27">
        <v>78</v>
      </c>
      <c r="K157" s="27">
        <v>19879.86</v>
      </c>
      <c r="L157" s="27">
        <v>3209.62</v>
      </c>
      <c r="M157" s="25" t="s">
        <v>484</v>
      </c>
      <c r="N157" s="25" t="s">
        <v>477</v>
      </c>
      <c r="O157" s="25" t="s">
        <v>476</v>
      </c>
      <c r="P157" s="28">
        <v>17</v>
      </c>
      <c r="Q157" s="23"/>
      <c r="R157" s="23"/>
      <c r="S157" s="23"/>
      <c r="T157" s="23"/>
      <c r="U157" s="23"/>
      <c r="V157" s="23"/>
    </row>
    <row r="158" spans="1:22" x14ac:dyDescent="0.3">
      <c r="A158" s="23"/>
      <c r="B158" s="24" t="s">
        <v>146</v>
      </c>
      <c r="C158" s="25" t="s">
        <v>496</v>
      </c>
      <c r="D158" s="25" t="s">
        <v>534</v>
      </c>
      <c r="E158" s="25" t="s">
        <v>490</v>
      </c>
      <c r="F158" s="25" t="s">
        <v>485</v>
      </c>
      <c r="G158" s="26">
        <v>45072</v>
      </c>
      <c r="H158" s="26">
        <v>45304</v>
      </c>
      <c r="I158" s="26">
        <v>45435</v>
      </c>
      <c r="J158" s="27">
        <v>121</v>
      </c>
      <c r="K158" s="27">
        <v>43636.229999999996</v>
      </c>
      <c r="L158" s="27">
        <v>8854.31</v>
      </c>
      <c r="M158" s="25" t="s">
        <v>482</v>
      </c>
      <c r="N158" s="25" t="s">
        <v>480</v>
      </c>
      <c r="O158" s="25" t="s">
        <v>474</v>
      </c>
      <c r="P158" s="28">
        <v>16</v>
      </c>
      <c r="Q158" s="23"/>
      <c r="R158" s="23"/>
      <c r="S158" s="23"/>
      <c r="T158" s="23"/>
      <c r="U158" s="23"/>
      <c r="V158" s="23"/>
    </row>
    <row r="159" spans="1:22" x14ac:dyDescent="0.3">
      <c r="A159" s="23"/>
      <c r="B159" s="24" t="s">
        <v>147</v>
      </c>
      <c r="C159" s="25" t="s">
        <v>496</v>
      </c>
      <c r="D159" s="25" t="s">
        <v>536</v>
      </c>
      <c r="E159" s="25" t="s">
        <v>490</v>
      </c>
      <c r="F159" s="25" t="s">
        <v>486</v>
      </c>
      <c r="G159" s="26">
        <v>45602</v>
      </c>
      <c r="H159" s="26">
        <v>44947</v>
      </c>
      <c r="I159" s="26">
        <v>45599</v>
      </c>
      <c r="J159" s="27">
        <v>461</v>
      </c>
      <c r="K159" s="27">
        <v>199156.61</v>
      </c>
      <c r="L159" s="27">
        <v>7343.35</v>
      </c>
      <c r="M159" s="25" t="s">
        <v>484</v>
      </c>
      <c r="N159" s="25" t="s">
        <v>477</v>
      </c>
      <c r="O159" s="25" t="s">
        <v>476</v>
      </c>
      <c r="P159" s="28">
        <v>29</v>
      </c>
      <c r="Q159" s="23"/>
      <c r="R159" s="23"/>
      <c r="S159" s="23"/>
      <c r="T159" s="23"/>
      <c r="U159" s="23"/>
      <c r="V159" s="23"/>
    </row>
    <row r="160" spans="1:22" x14ac:dyDescent="0.3">
      <c r="A160" s="23"/>
      <c r="B160" s="24" t="s">
        <v>148</v>
      </c>
      <c r="C160" s="25" t="s">
        <v>495</v>
      </c>
      <c r="D160" s="25" t="s">
        <v>536</v>
      </c>
      <c r="E160" s="25" t="s">
        <v>490</v>
      </c>
      <c r="F160" s="25" t="s">
        <v>486</v>
      </c>
      <c r="G160" s="26">
        <v>45365</v>
      </c>
      <c r="H160" s="26">
        <v>45514</v>
      </c>
      <c r="I160" s="26">
        <v>45109</v>
      </c>
      <c r="J160" s="27">
        <v>478</v>
      </c>
      <c r="K160" s="27">
        <v>44802.94</v>
      </c>
      <c r="L160" s="27">
        <v>9995.6</v>
      </c>
      <c r="M160" s="25" t="s">
        <v>484</v>
      </c>
      <c r="N160" s="25" t="s">
        <v>480</v>
      </c>
      <c r="O160" s="25" t="s">
        <v>475</v>
      </c>
      <c r="P160" s="28">
        <v>23</v>
      </c>
      <c r="Q160" s="23"/>
      <c r="R160" s="23"/>
      <c r="S160" s="23"/>
      <c r="T160" s="23"/>
      <c r="U160" s="23"/>
      <c r="V160" s="23"/>
    </row>
    <row r="161" spans="1:22" x14ac:dyDescent="0.3">
      <c r="A161" s="23"/>
      <c r="B161" s="24" t="s">
        <v>149</v>
      </c>
      <c r="C161" s="25" t="s">
        <v>495</v>
      </c>
      <c r="D161" s="25" t="s">
        <v>536</v>
      </c>
      <c r="E161" s="25" t="s">
        <v>492</v>
      </c>
      <c r="F161" s="25" t="s">
        <v>485</v>
      </c>
      <c r="G161" s="26">
        <v>45168</v>
      </c>
      <c r="H161" s="26">
        <v>45662</v>
      </c>
      <c r="I161" s="26">
        <v>45062</v>
      </c>
      <c r="J161" s="27">
        <v>354</v>
      </c>
      <c r="K161" s="27">
        <v>141954</v>
      </c>
      <c r="L161" s="27">
        <v>7579.47</v>
      </c>
      <c r="M161" s="25" t="s">
        <v>484</v>
      </c>
      <c r="N161" s="25" t="s">
        <v>477</v>
      </c>
      <c r="O161" s="25" t="s">
        <v>475</v>
      </c>
      <c r="P161" s="28">
        <v>10</v>
      </c>
      <c r="Q161" s="23"/>
      <c r="R161" s="23"/>
      <c r="S161" s="23"/>
      <c r="T161" s="23"/>
      <c r="U161" s="23"/>
      <c r="V161" s="23"/>
    </row>
    <row r="162" spans="1:22" x14ac:dyDescent="0.3">
      <c r="A162" s="23"/>
      <c r="B162" s="24" t="s">
        <v>150</v>
      </c>
      <c r="C162" s="25" t="s">
        <v>495</v>
      </c>
      <c r="D162" s="25" t="s">
        <v>536</v>
      </c>
      <c r="E162" s="25" t="s">
        <v>491</v>
      </c>
      <c r="F162" s="25" t="s">
        <v>485</v>
      </c>
      <c r="G162" s="26">
        <v>45507</v>
      </c>
      <c r="H162" s="26">
        <v>44997</v>
      </c>
      <c r="I162" s="26">
        <v>45385</v>
      </c>
      <c r="J162" s="27">
        <v>483</v>
      </c>
      <c r="K162" s="27">
        <v>134558.97</v>
      </c>
      <c r="L162" s="27">
        <v>7066.13</v>
      </c>
      <c r="M162" s="25" t="s">
        <v>484</v>
      </c>
      <c r="N162" s="25" t="s">
        <v>477</v>
      </c>
      <c r="O162" s="25" t="s">
        <v>476</v>
      </c>
      <c r="P162" s="28">
        <v>2</v>
      </c>
      <c r="Q162" s="23"/>
      <c r="R162" s="23"/>
      <c r="S162" s="23"/>
      <c r="T162" s="23"/>
      <c r="U162" s="23"/>
      <c r="V162" s="23"/>
    </row>
    <row r="163" spans="1:22" x14ac:dyDescent="0.3">
      <c r="A163" s="23"/>
      <c r="B163" s="24" t="s">
        <v>151</v>
      </c>
      <c r="C163" s="25" t="s">
        <v>495</v>
      </c>
      <c r="D163" s="25" t="s">
        <v>536</v>
      </c>
      <c r="E163" s="25" t="s">
        <v>490</v>
      </c>
      <c r="F163" s="25" t="s">
        <v>486</v>
      </c>
      <c r="G163" s="26">
        <v>45613</v>
      </c>
      <c r="H163" s="26">
        <v>45138</v>
      </c>
      <c r="I163" s="26">
        <v>45278</v>
      </c>
      <c r="J163" s="27">
        <v>212</v>
      </c>
      <c r="K163" s="27">
        <v>42673.479999999996</v>
      </c>
      <c r="L163" s="27">
        <v>2669.31</v>
      </c>
      <c r="M163" s="25" t="s">
        <v>484</v>
      </c>
      <c r="N163" s="25" t="s">
        <v>480</v>
      </c>
      <c r="O163" s="25" t="s">
        <v>475</v>
      </c>
      <c r="P163" s="28">
        <v>22</v>
      </c>
      <c r="Q163" s="23"/>
      <c r="R163" s="23"/>
      <c r="S163" s="23"/>
      <c r="T163" s="23"/>
      <c r="U163" s="23"/>
      <c r="V163" s="23"/>
    </row>
    <row r="164" spans="1:22" x14ac:dyDescent="0.3">
      <c r="A164" s="23"/>
      <c r="B164" s="24" t="s">
        <v>152</v>
      </c>
      <c r="C164" s="25" t="s">
        <v>494</v>
      </c>
      <c r="D164" s="25" t="s">
        <v>536</v>
      </c>
      <c r="E164" s="25" t="s">
        <v>492</v>
      </c>
      <c r="F164" s="25" t="s">
        <v>488</v>
      </c>
      <c r="G164" s="26">
        <v>45487</v>
      </c>
      <c r="H164" s="26">
        <v>45028</v>
      </c>
      <c r="I164" s="26">
        <v>45470</v>
      </c>
      <c r="J164" s="27">
        <v>442</v>
      </c>
      <c r="K164" s="27">
        <v>31028.400000000001</v>
      </c>
      <c r="L164" s="27">
        <v>968.99</v>
      </c>
      <c r="M164" s="25" t="s">
        <v>483</v>
      </c>
      <c r="N164" s="25" t="s">
        <v>478</v>
      </c>
      <c r="O164" s="25" t="s">
        <v>476</v>
      </c>
      <c r="P164" s="28">
        <v>16</v>
      </c>
      <c r="Q164" s="23"/>
      <c r="R164" s="23"/>
      <c r="S164" s="23"/>
      <c r="T164" s="23"/>
      <c r="U164" s="23"/>
      <c r="V164" s="23"/>
    </row>
    <row r="165" spans="1:22" x14ac:dyDescent="0.3">
      <c r="A165" s="23"/>
      <c r="B165" s="24" t="s">
        <v>153</v>
      </c>
      <c r="C165" s="25" t="s">
        <v>494</v>
      </c>
      <c r="D165" s="25" t="s">
        <v>535</v>
      </c>
      <c r="E165" s="25" t="s">
        <v>491</v>
      </c>
      <c r="F165" s="25" t="s">
        <v>487</v>
      </c>
      <c r="G165" s="26">
        <v>45409</v>
      </c>
      <c r="H165" s="26">
        <v>45625</v>
      </c>
      <c r="I165" s="26">
        <v>45336</v>
      </c>
      <c r="J165" s="27">
        <v>266</v>
      </c>
      <c r="K165" s="27">
        <v>115263.12</v>
      </c>
      <c r="L165" s="27">
        <v>7634.91</v>
      </c>
      <c r="M165" s="25" t="s">
        <v>484</v>
      </c>
      <c r="N165" s="25" t="s">
        <v>478</v>
      </c>
      <c r="O165" s="25" t="s">
        <v>476</v>
      </c>
      <c r="P165" s="28">
        <v>0</v>
      </c>
      <c r="Q165" s="23"/>
      <c r="R165" s="23"/>
      <c r="S165" s="23"/>
      <c r="T165" s="23"/>
      <c r="U165" s="23"/>
      <c r="V165" s="23"/>
    </row>
    <row r="166" spans="1:22" x14ac:dyDescent="0.3">
      <c r="A166" s="23"/>
      <c r="B166" s="24" t="s">
        <v>154</v>
      </c>
      <c r="C166" s="25" t="s">
        <v>494</v>
      </c>
      <c r="D166" s="25" t="s">
        <v>535</v>
      </c>
      <c r="E166" s="25" t="s">
        <v>491</v>
      </c>
      <c r="F166" s="25" t="s">
        <v>487</v>
      </c>
      <c r="G166" s="26">
        <v>45034</v>
      </c>
      <c r="H166" s="26">
        <v>45059</v>
      </c>
      <c r="I166" s="26">
        <v>45006</v>
      </c>
      <c r="J166" s="27">
        <v>400</v>
      </c>
      <c r="K166" s="27">
        <v>33140</v>
      </c>
      <c r="L166" s="27">
        <v>9901.58</v>
      </c>
      <c r="M166" s="25" t="s">
        <v>484</v>
      </c>
      <c r="N166" s="25" t="s">
        <v>477</v>
      </c>
      <c r="O166" s="25" t="s">
        <v>475</v>
      </c>
      <c r="P166" s="28">
        <v>14</v>
      </c>
      <c r="Q166" s="23"/>
      <c r="R166" s="23"/>
      <c r="S166" s="23"/>
      <c r="T166" s="23"/>
      <c r="U166" s="23"/>
      <c r="V166" s="23"/>
    </row>
    <row r="167" spans="1:22" x14ac:dyDescent="0.3">
      <c r="A167" s="23"/>
      <c r="B167" s="24" t="s">
        <v>155</v>
      </c>
      <c r="C167" s="25" t="s">
        <v>494</v>
      </c>
      <c r="D167" s="25" t="s">
        <v>534</v>
      </c>
      <c r="E167" s="25" t="s">
        <v>490</v>
      </c>
      <c r="F167" s="25" t="s">
        <v>486</v>
      </c>
      <c r="G167" s="26">
        <v>45599</v>
      </c>
      <c r="H167" s="26">
        <v>45308</v>
      </c>
      <c r="I167" s="26">
        <v>45422</v>
      </c>
      <c r="J167" s="27">
        <v>339</v>
      </c>
      <c r="K167" s="27">
        <v>50365.229999999996</v>
      </c>
      <c r="L167" s="27">
        <v>6587.45</v>
      </c>
      <c r="M167" s="25" t="s">
        <v>481</v>
      </c>
      <c r="N167" s="25" t="s">
        <v>477</v>
      </c>
      <c r="O167" s="25" t="s">
        <v>474</v>
      </c>
      <c r="P167" s="28">
        <v>27</v>
      </c>
      <c r="Q167" s="23"/>
      <c r="R167" s="23"/>
      <c r="S167" s="23"/>
      <c r="T167" s="23"/>
      <c r="U167" s="23"/>
      <c r="V167" s="23"/>
    </row>
    <row r="168" spans="1:22" x14ac:dyDescent="0.3">
      <c r="A168" s="23"/>
      <c r="B168" s="24" t="s">
        <v>156</v>
      </c>
      <c r="C168" s="25" t="s">
        <v>495</v>
      </c>
      <c r="D168" s="25" t="s">
        <v>534</v>
      </c>
      <c r="E168" s="25" t="s">
        <v>491</v>
      </c>
      <c r="F168" s="25" t="s">
        <v>485</v>
      </c>
      <c r="G168" s="26">
        <v>45557</v>
      </c>
      <c r="H168" s="26">
        <v>45059</v>
      </c>
      <c r="I168" s="26">
        <v>45124</v>
      </c>
      <c r="J168" s="27">
        <v>499</v>
      </c>
      <c r="K168" s="27">
        <v>217738.65000000002</v>
      </c>
      <c r="L168" s="27">
        <v>397.37</v>
      </c>
      <c r="M168" s="25" t="s">
        <v>484</v>
      </c>
      <c r="N168" s="25" t="s">
        <v>477</v>
      </c>
      <c r="O168" s="25" t="s">
        <v>474</v>
      </c>
      <c r="P168" s="28">
        <v>8</v>
      </c>
      <c r="Q168" s="23"/>
      <c r="R168" s="23"/>
      <c r="S168" s="23"/>
      <c r="T168" s="23"/>
      <c r="U168" s="23"/>
      <c r="V168" s="23"/>
    </row>
    <row r="169" spans="1:22" x14ac:dyDescent="0.3">
      <c r="A169" s="23"/>
      <c r="B169" s="24" t="s">
        <v>157</v>
      </c>
      <c r="C169" s="25" t="s">
        <v>495</v>
      </c>
      <c r="D169" s="25" t="s">
        <v>535</v>
      </c>
      <c r="E169" s="25" t="s">
        <v>492</v>
      </c>
      <c r="F169" s="25" t="s">
        <v>486</v>
      </c>
      <c r="G169" s="26">
        <v>45587</v>
      </c>
      <c r="H169" s="26">
        <v>44947</v>
      </c>
      <c r="I169" s="26">
        <v>45092</v>
      </c>
      <c r="J169" s="27">
        <v>511</v>
      </c>
      <c r="K169" s="27">
        <v>172712.89</v>
      </c>
      <c r="L169" s="27">
        <v>8747.01</v>
      </c>
      <c r="M169" s="25" t="s">
        <v>482</v>
      </c>
      <c r="N169" s="25" t="s">
        <v>477</v>
      </c>
      <c r="O169" s="25" t="s">
        <v>475</v>
      </c>
      <c r="P169" s="28">
        <v>14</v>
      </c>
      <c r="Q169" s="23"/>
      <c r="R169" s="23"/>
      <c r="S169" s="23"/>
      <c r="T169" s="23"/>
      <c r="U169" s="23"/>
      <c r="V169" s="23"/>
    </row>
    <row r="170" spans="1:22" x14ac:dyDescent="0.3">
      <c r="A170" s="23"/>
      <c r="B170" s="24" t="s">
        <v>158</v>
      </c>
      <c r="C170" s="25" t="s">
        <v>493</v>
      </c>
      <c r="D170" s="25" t="s">
        <v>535</v>
      </c>
      <c r="E170" s="25" t="s">
        <v>490</v>
      </c>
      <c r="F170" s="25" t="s">
        <v>486</v>
      </c>
      <c r="G170" s="26">
        <v>45588</v>
      </c>
      <c r="H170" s="26">
        <v>45463</v>
      </c>
      <c r="I170" s="26">
        <v>45277</v>
      </c>
      <c r="J170" s="27">
        <v>402</v>
      </c>
      <c r="K170" s="27">
        <v>160542.72</v>
      </c>
      <c r="L170" s="27">
        <v>7401.72</v>
      </c>
      <c r="M170" s="25" t="s">
        <v>481</v>
      </c>
      <c r="N170" s="25" t="s">
        <v>477</v>
      </c>
      <c r="O170" s="25" t="s">
        <v>475</v>
      </c>
      <c r="P170" s="28">
        <v>27</v>
      </c>
      <c r="Q170" s="23"/>
      <c r="R170" s="23"/>
      <c r="S170" s="23"/>
      <c r="T170" s="23"/>
      <c r="U170" s="23"/>
      <c r="V170" s="23"/>
    </row>
    <row r="171" spans="1:22" x14ac:dyDescent="0.3">
      <c r="A171" s="23"/>
      <c r="B171" s="24" t="s">
        <v>159</v>
      </c>
      <c r="C171" s="25" t="s">
        <v>496</v>
      </c>
      <c r="D171" s="25" t="s">
        <v>535</v>
      </c>
      <c r="E171" s="25" t="s">
        <v>490</v>
      </c>
      <c r="F171" s="25" t="s">
        <v>487</v>
      </c>
      <c r="G171" s="26">
        <v>45358</v>
      </c>
      <c r="H171" s="26">
        <v>45154</v>
      </c>
      <c r="I171" s="26">
        <v>45291</v>
      </c>
      <c r="J171" s="27">
        <v>228</v>
      </c>
      <c r="K171" s="27">
        <v>29407.439999999999</v>
      </c>
      <c r="L171" s="27">
        <v>3153.2</v>
      </c>
      <c r="M171" s="25" t="s">
        <v>484</v>
      </c>
      <c r="N171" s="25" t="s">
        <v>477</v>
      </c>
      <c r="O171" s="25" t="s">
        <v>475</v>
      </c>
      <c r="P171" s="28">
        <v>23</v>
      </c>
      <c r="Q171" s="23"/>
      <c r="R171" s="23"/>
      <c r="S171" s="23"/>
      <c r="T171" s="23"/>
      <c r="U171" s="23"/>
      <c r="V171" s="23"/>
    </row>
    <row r="172" spans="1:22" x14ac:dyDescent="0.3">
      <c r="A172" s="23"/>
      <c r="B172" s="24" t="s">
        <v>160</v>
      </c>
      <c r="C172" s="25" t="s">
        <v>494</v>
      </c>
      <c r="D172" s="25" t="s">
        <v>535</v>
      </c>
      <c r="E172" s="25" t="s">
        <v>490</v>
      </c>
      <c r="F172" s="25" t="s">
        <v>488</v>
      </c>
      <c r="G172" s="26">
        <v>45581</v>
      </c>
      <c r="H172" s="26">
        <v>45081</v>
      </c>
      <c r="I172" s="26">
        <v>45514</v>
      </c>
      <c r="J172" s="27">
        <v>368</v>
      </c>
      <c r="K172" s="27">
        <v>115666.08</v>
      </c>
      <c r="L172" s="27">
        <v>7582.63</v>
      </c>
      <c r="M172" s="25" t="s">
        <v>484</v>
      </c>
      <c r="N172" s="25" t="s">
        <v>480</v>
      </c>
      <c r="O172" s="25" t="s">
        <v>476</v>
      </c>
      <c r="P172" s="28">
        <v>27</v>
      </c>
      <c r="Q172" s="23"/>
      <c r="R172" s="23"/>
      <c r="S172" s="23"/>
      <c r="T172" s="23"/>
      <c r="U172" s="23"/>
      <c r="V172" s="23"/>
    </row>
    <row r="173" spans="1:22" x14ac:dyDescent="0.3">
      <c r="A173" s="23"/>
      <c r="B173" s="24" t="s">
        <v>161</v>
      </c>
      <c r="C173" s="25" t="s">
        <v>495</v>
      </c>
      <c r="D173" s="25" t="s">
        <v>535</v>
      </c>
      <c r="E173" s="25" t="s">
        <v>492</v>
      </c>
      <c r="F173" s="25" t="s">
        <v>487</v>
      </c>
      <c r="G173" s="26">
        <v>45345</v>
      </c>
      <c r="H173" s="26">
        <v>45396</v>
      </c>
      <c r="I173" s="26">
        <v>45017</v>
      </c>
      <c r="J173" s="27">
        <v>496</v>
      </c>
      <c r="K173" s="27">
        <v>142852.96</v>
      </c>
      <c r="L173" s="27">
        <v>2144.54</v>
      </c>
      <c r="M173" s="25" t="s">
        <v>482</v>
      </c>
      <c r="N173" s="25" t="s">
        <v>478</v>
      </c>
      <c r="O173" s="25" t="s">
        <v>476</v>
      </c>
      <c r="P173" s="28">
        <v>28</v>
      </c>
      <c r="Q173" s="23"/>
      <c r="R173" s="23"/>
      <c r="S173" s="23"/>
      <c r="T173" s="23"/>
      <c r="U173" s="23"/>
      <c r="V173" s="23"/>
    </row>
    <row r="174" spans="1:22" x14ac:dyDescent="0.3">
      <c r="A174" s="23"/>
      <c r="B174" s="24" t="s">
        <v>162</v>
      </c>
      <c r="C174" s="25" t="s">
        <v>495</v>
      </c>
      <c r="D174" s="25" t="s">
        <v>535</v>
      </c>
      <c r="E174" s="25" t="s">
        <v>491</v>
      </c>
      <c r="F174" s="25" t="s">
        <v>485</v>
      </c>
      <c r="G174" s="26">
        <v>45381</v>
      </c>
      <c r="H174" s="26">
        <v>45332</v>
      </c>
      <c r="I174" s="26">
        <v>45192</v>
      </c>
      <c r="J174" s="27">
        <v>226</v>
      </c>
      <c r="K174" s="27">
        <v>94298.5</v>
      </c>
      <c r="L174" s="27">
        <v>4025.21</v>
      </c>
      <c r="M174" s="25" t="s">
        <v>484</v>
      </c>
      <c r="N174" s="25" t="s">
        <v>477</v>
      </c>
      <c r="O174" s="25" t="s">
        <v>476</v>
      </c>
      <c r="P174" s="28">
        <v>2</v>
      </c>
      <c r="Q174" s="23"/>
      <c r="R174" s="23"/>
      <c r="S174" s="23"/>
      <c r="T174" s="23"/>
      <c r="U174" s="23"/>
      <c r="V174" s="23"/>
    </row>
    <row r="175" spans="1:22" x14ac:dyDescent="0.3">
      <c r="A175" s="23"/>
      <c r="B175" s="24" t="s">
        <v>163</v>
      </c>
      <c r="C175" s="25" t="s">
        <v>495</v>
      </c>
      <c r="D175" s="25" t="s">
        <v>536</v>
      </c>
      <c r="E175" s="25" t="s">
        <v>491</v>
      </c>
      <c r="F175" s="25" t="s">
        <v>487</v>
      </c>
      <c r="G175" s="26">
        <v>45086</v>
      </c>
      <c r="H175" s="26">
        <v>45129</v>
      </c>
      <c r="I175" s="26">
        <v>45144</v>
      </c>
      <c r="J175" s="27">
        <v>184</v>
      </c>
      <c r="K175" s="27">
        <v>83445.84</v>
      </c>
      <c r="L175" s="27">
        <v>8458.9500000000007</v>
      </c>
      <c r="M175" s="25" t="s">
        <v>484</v>
      </c>
      <c r="N175" s="25" t="s">
        <v>480</v>
      </c>
      <c r="O175" s="25" t="s">
        <v>476</v>
      </c>
      <c r="P175" s="28">
        <v>21</v>
      </c>
      <c r="Q175" s="23"/>
      <c r="R175" s="23"/>
      <c r="S175" s="23"/>
      <c r="T175" s="23"/>
      <c r="U175" s="23"/>
      <c r="V175" s="23"/>
    </row>
    <row r="176" spans="1:22" x14ac:dyDescent="0.3">
      <c r="A176" s="23"/>
      <c r="B176" s="24" t="s">
        <v>164</v>
      </c>
      <c r="C176" s="25" t="s">
        <v>495</v>
      </c>
      <c r="D176" s="25" t="s">
        <v>536</v>
      </c>
      <c r="E176" s="25" t="s">
        <v>492</v>
      </c>
      <c r="F176" s="25" t="s">
        <v>487</v>
      </c>
      <c r="G176" s="26">
        <v>45449</v>
      </c>
      <c r="H176" s="26">
        <v>44965</v>
      </c>
      <c r="I176" s="26">
        <v>45595</v>
      </c>
      <c r="J176" s="27">
        <v>503</v>
      </c>
      <c r="K176" s="27">
        <v>5543.0599999999995</v>
      </c>
      <c r="L176" s="27">
        <v>3172.58</v>
      </c>
      <c r="M176" s="25" t="s">
        <v>484</v>
      </c>
      <c r="N176" s="25" t="s">
        <v>477</v>
      </c>
      <c r="O176" s="25" t="s">
        <v>476</v>
      </c>
      <c r="P176" s="28">
        <v>26</v>
      </c>
      <c r="Q176" s="23"/>
      <c r="R176" s="23"/>
      <c r="S176" s="23"/>
      <c r="T176" s="23"/>
      <c r="U176" s="23"/>
      <c r="V176" s="23"/>
    </row>
    <row r="177" spans="1:22" x14ac:dyDescent="0.3">
      <c r="A177" s="23"/>
      <c r="B177" s="24" t="s">
        <v>165</v>
      </c>
      <c r="C177" s="25" t="s">
        <v>495</v>
      </c>
      <c r="D177" s="25" t="s">
        <v>536</v>
      </c>
      <c r="E177" s="25" t="s">
        <v>491</v>
      </c>
      <c r="F177" s="25" t="s">
        <v>486</v>
      </c>
      <c r="G177" s="26">
        <v>45576</v>
      </c>
      <c r="H177" s="26">
        <v>45115</v>
      </c>
      <c r="I177" s="26">
        <v>45652</v>
      </c>
      <c r="J177" s="27">
        <v>399</v>
      </c>
      <c r="K177" s="27">
        <v>135117.35999999999</v>
      </c>
      <c r="L177" s="27">
        <v>2147.39</v>
      </c>
      <c r="M177" s="25" t="s">
        <v>484</v>
      </c>
      <c r="N177" s="25" t="s">
        <v>477</v>
      </c>
      <c r="O177" s="25" t="s">
        <v>475</v>
      </c>
      <c r="P177" s="28">
        <v>18</v>
      </c>
      <c r="Q177" s="23"/>
      <c r="R177" s="23"/>
      <c r="S177" s="23"/>
      <c r="T177" s="23"/>
      <c r="U177" s="23"/>
      <c r="V177" s="23"/>
    </row>
    <row r="178" spans="1:22" x14ac:dyDescent="0.3">
      <c r="A178" s="23"/>
      <c r="B178" s="24" t="s">
        <v>166</v>
      </c>
      <c r="C178" s="25" t="s">
        <v>493</v>
      </c>
      <c r="D178" s="25" t="s">
        <v>536</v>
      </c>
      <c r="E178" s="25" t="s">
        <v>490</v>
      </c>
      <c r="F178" s="25" t="s">
        <v>486</v>
      </c>
      <c r="G178" s="26">
        <v>45516</v>
      </c>
      <c r="H178" s="26">
        <v>44984</v>
      </c>
      <c r="I178" s="26">
        <v>45503</v>
      </c>
      <c r="J178" s="27">
        <v>681</v>
      </c>
      <c r="K178" s="27">
        <v>20879.46</v>
      </c>
      <c r="L178" s="27">
        <v>372.81</v>
      </c>
      <c r="M178" s="25" t="s">
        <v>484</v>
      </c>
      <c r="N178" s="25" t="s">
        <v>477</v>
      </c>
      <c r="O178" s="25" t="s">
        <v>475</v>
      </c>
      <c r="P178" s="28">
        <v>12</v>
      </c>
      <c r="Q178" s="23"/>
      <c r="R178" s="23"/>
      <c r="S178" s="23"/>
      <c r="T178" s="23"/>
      <c r="U178" s="23"/>
      <c r="V178" s="23"/>
    </row>
    <row r="179" spans="1:22" x14ac:dyDescent="0.3">
      <c r="A179" s="23"/>
      <c r="B179" s="24" t="s">
        <v>167</v>
      </c>
      <c r="C179" s="25" t="s">
        <v>495</v>
      </c>
      <c r="D179" s="25" t="s">
        <v>536</v>
      </c>
      <c r="E179" s="25" t="s">
        <v>490</v>
      </c>
      <c r="F179" s="25" t="s">
        <v>486</v>
      </c>
      <c r="G179" s="26">
        <v>45003</v>
      </c>
      <c r="H179" s="26">
        <v>44947</v>
      </c>
      <c r="I179" s="26">
        <v>45192</v>
      </c>
      <c r="J179" s="27">
        <v>591</v>
      </c>
      <c r="K179" s="27">
        <v>163523.79</v>
      </c>
      <c r="L179" s="27">
        <v>9611.16</v>
      </c>
      <c r="M179" s="25" t="s">
        <v>484</v>
      </c>
      <c r="N179" s="25" t="s">
        <v>477</v>
      </c>
      <c r="O179" s="25" t="s">
        <v>476</v>
      </c>
      <c r="P179" s="28">
        <v>11</v>
      </c>
      <c r="Q179" s="23"/>
      <c r="R179" s="23"/>
      <c r="S179" s="23"/>
      <c r="T179" s="23"/>
      <c r="U179" s="23"/>
      <c r="V179" s="23"/>
    </row>
    <row r="180" spans="1:22" x14ac:dyDescent="0.3">
      <c r="A180" s="23"/>
      <c r="B180" s="24" t="s">
        <v>168</v>
      </c>
      <c r="C180" s="25" t="s">
        <v>495</v>
      </c>
      <c r="D180" s="25" t="s">
        <v>536</v>
      </c>
      <c r="E180" s="25" t="s">
        <v>490</v>
      </c>
      <c r="F180" s="25" t="s">
        <v>486</v>
      </c>
      <c r="G180" s="26">
        <v>45435</v>
      </c>
      <c r="H180" s="26">
        <v>45200</v>
      </c>
      <c r="I180" s="26">
        <v>45660</v>
      </c>
      <c r="J180" s="27">
        <v>124</v>
      </c>
      <c r="K180" s="27">
        <v>18275.12</v>
      </c>
      <c r="L180" s="27">
        <v>3483.58</v>
      </c>
      <c r="M180" s="25" t="s">
        <v>482</v>
      </c>
      <c r="N180" s="25" t="s">
        <v>480</v>
      </c>
      <c r="O180" s="25" t="s">
        <v>476</v>
      </c>
      <c r="P180" s="28">
        <v>19</v>
      </c>
      <c r="Q180" s="23"/>
      <c r="R180" s="23"/>
      <c r="S180" s="23"/>
      <c r="T180" s="23"/>
      <c r="U180" s="23"/>
      <c r="V180" s="23"/>
    </row>
    <row r="181" spans="1:22" x14ac:dyDescent="0.3">
      <c r="A181" s="23"/>
      <c r="B181" s="24" t="s">
        <v>169</v>
      </c>
      <c r="C181" s="25" t="s">
        <v>494</v>
      </c>
      <c r="D181" s="25" t="s">
        <v>536</v>
      </c>
      <c r="E181" s="25" t="s">
        <v>491</v>
      </c>
      <c r="F181" s="25" t="s">
        <v>485</v>
      </c>
      <c r="G181" s="26">
        <v>45367</v>
      </c>
      <c r="H181" s="26">
        <v>45046</v>
      </c>
      <c r="I181" s="26">
        <v>45213</v>
      </c>
      <c r="J181" s="27">
        <v>453</v>
      </c>
      <c r="K181" s="27">
        <v>71053.05</v>
      </c>
      <c r="L181" s="27">
        <v>9895.0400000000009</v>
      </c>
      <c r="M181" s="25" t="s">
        <v>484</v>
      </c>
      <c r="N181" s="25" t="s">
        <v>477</v>
      </c>
      <c r="O181" s="25" t="s">
        <v>474</v>
      </c>
      <c r="P181" s="28">
        <v>0</v>
      </c>
      <c r="Q181" s="23"/>
      <c r="R181" s="23"/>
      <c r="S181" s="23"/>
      <c r="T181" s="23"/>
      <c r="U181" s="23"/>
      <c r="V181" s="23"/>
    </row>
    <row r="182" spans="1:22" x14ac:dyDescent="0.3">
      <c r="A182" s="23"/>
      <c r="B182" s="24" t="s">
        <v>170</v>
      </c>
      <c r="C182" s="25" t="s">
        <v>494</v>
      </c>
      <c r="D182" s="25" t="s">
        <v>534</v>
      </c>
      <c r="E182" s="25" t="s">
        <v>491</v>
      </c>
      <c r="F182" s="25" t="s">
        <v>485</v>
      </c>
      <c r="G182" s="26">
        <v>45180</v>
      </c>
      <c r="H182" s="26">
        <v>45510</v>
      </c>
      <c r="I182" s="26">
        <v>45578</v>
      </c>
      <c r="J182" s="27">
        <v>106</v>
      </c>
      <c r="K182" s="27">
        <v>19049.260000000002</v>
      </c>
      <c r="L182" s="27">
        <v>5814.18</v>
      </c>
      <c r="M182" s="25" t="s">
        <v>484</v>
      </c>
      <c r="N182" s="25" t="s">
        <v>477</v>
      </c>
      <c r="O182" s="25" t="s">
        <v>476</v>
      </c>
      <c r="P182" s="28">
        <v>20</v>
      </c>
      <c r="Q182" s="23"/>
      <c r="R182" s="23"/>
      <c r="S182" s="23"/>
      <c r="T182" s="23"/>
      <c r="U182" s="23"/>
      <c r="V182" s="23"/>
    </row>
    <row r="183" spans="1:22" x14ac:dyDescent="0.3">
      <c r="A183" s="23"/>
      <c r="B183" s="24" t="s">
        <v>171</v>
      </c>
      <c r="C183" s="25" t="s">
        <v>495</v>
      </c>
      <c r="D183" s="25" t="s">
        <v>534</v>
      </c>
      <c r="E183" s="25" t="s">
        <v>490</v>
      </c>
      <c r="F183" s="25" t="s">
        <v>488</v>
      </c>
      <c r="G183" s="26">
        <v>45246</v>
      </c>
      <c r="H183" s="26">
        <v>45443</v>
      </c>
      <c r="I183" s="26">
        <v>45397</v>
      </c>
      <c r="J183" s="27">
        <v>609</v>
      </c>
      <c r="K183" s="27">
        <v>190336.86000000002</v>
      </c>
      <c r="L183" s="27">
        <v>4666.62</v>
      </c>
      <c r="M183" s="25" t="s">
        <v>481</v>
      </c>
      <c r="N183" s="25" t="s">
        <v>478</v>
      </c>
      <c r="O183" s="25" t="s">
        <v>475</v>
      </c>
      <c r="P183" s="28">
        <v>16</v>
      </c>
      <c r="Q183" s="23"/>
      <c r="R183" s="23"/>
      <c r="S183" s="23"/>
      <c r="T183" s="23"/>
      <c r="U183" s="23"/>
      <c r="V183" s="23"/>
    </row>
    <row r="184" spans="1:22" x14ac:dyDescent="0.3">
      <c r="A184" s="23"/>
      <c r="B184" s="24" t="s">
        <v>172</v>
      </c>
      <c r="C184" s="25" t="s">
        <v>493</v>
      </c>
      <c r="D184" s="25" t="s">
        <v>534</v>
      </c>
      <c r="E184" s="25" t="s">
        <v>490</v>
      </c>
      <c r="F184" s="25" t="s">
        <v>487</v>
      </c>
      <c r="G184" s="26">
        <v>45189</v>
      </c>
      <c r="H184" s="26">
        <v>45148</v>
      </c>
      <c r="I184" s="26">
        <v>45310</v>
      </c>
      <c r="J184" s="27">
        <v>561</v>
      </c>
      <c r="K184" s="27">
        <v>95566.349999999991</v>
      </c>
      <c r="L184" s="27">
        <v>4919.46</v>
      </c>
      <c r="M184" s="25" t="s">
        <v>481</v>
      </c>
      <c r="N184" s="25" t="s">
        <v>477</v>
      </c>
      <c r="O184" s="25" t="s">
        <v>475</v>
      </c>
      <c r="P184" s="28">
        <v>12</v>
      </c>
      <c r="Q184" s="23"/>
      <c r="R184" s="23"/>
      <c r="S184" s="23"/>
      <c r="T184" s="23"/>
      <c r="U184" s="23"/>
      <c r="V184" s="23"/>
    </row>
    <row r="185" spans="1:22" x14ac:dyDescent="0.3">
      <c r="A185" s="23"/>
      <c r="B185" s="24" t="s">
        <v>173</v>
      </c>
      <c r="C185" s="25" t="s">
        <v>495</v>
      </c>
      <c r="D185" s="25" t="s">
        <v>534</v>
      </c>
      <c r="E185" s="25" t="s">
        <v>492</v>
      </c>
      <c r="F185" s="25" t="s">
        <v>485</v>
      </c>
      <c r="G185" s="26">
        <v>45523</v>
      </c>
      <c r="H185" s="26">
        <v>45453</v>
      </c>
      <c r="I185" s="26">
        <v>45292</v>
      </c>
      <c r="J185" s="27">
        <v>667</v>
      </c>
      <c r="K185" s="27">
        <v>245249.23</v>
      </c>
      <c r="L185" s="27">
        <v>3624.13</v>
      </c>
      <c r="M185" s="25" t="s">
        <v>481</v>
      </c>
      <c r="N185" s="25" t="s">
        <v>480</v>
      </c>
      <c r="O185" s="25" t="s">
        <v>476</v>
      </c>
      <c r="P185" s="28">
        <v>0</v>
      </c>
      <c r="Q185" s="23"/>
      <c r="R185" s="23"/>
      <c r="S185" s="23"/>
      <c r="T185" s="23"/>
      <c r="U185" s="23"/>
      <c r="V185" s="23"/>
    </row>
    <row r="186" spans="1:22" x14ac:dyDescent="0.3">
      <c r="A186" s="23"/>
      <c r="B186" s="24" t="s">
        <v>174</v>
      </c>
      <c r="C186" s="25" t="s">
        <v>493</v>
      </c>
      <c r="D186" s="25" t="s">
        <v>534</v>
      </c>
      <c r="E186" s="25" t="s">
        <v>492</v>
      </c>
      <c r="F186" s="25" t="s">
        <v>486</v>
      </c>
      <c r="G186" s="26">
        <v>45584</v>
      </c>
      <c r="H186" s="26">
        <v>45442</v>
      </c>
      <c r="I186" s="26">
        <v>45379</v>
      </c>
      <c r="J186" s="27">
        <v>595</v>
      </c>
      <c r="K186" s="27">
        <v>122117.8</v>
      </c>
      <c r="L186" s="27">
        <v>6728.02</v>
      </c>
      <c r="M186" s="25" t="s">
        <v>481</v>
      </c>
      <c r="N186" s="25" t="s">
        <v>477</v>
      </c>
      <c r="O186" s="25" t="s">
        <v>476</v>
      </c>
      <c r="P186" s="28">
        <v>9</v>
      </c>
      <c r="Q186" s="23"/>
      <c r="R186" s="23"/>
      <c r="S186" s="23"/>
      <c r="T186" s="23"/>
      <c r="U186" s="23"/>
      <c r="V186" s="23"/>
    </row>
    <row r="187" spans="1:22" x14ac:dyDescent="0.3">
      <c r="A187" s="23"/>
      <c r="B187" s="24" t="s">
        <v>175</v>
      </c>
      <c r="C187" s="25" t="s">
        <v>495</v>
      </c>
      <c r="D187" s="25" t="s">
        <v>534</v>
      </c>
      <c r="E187" s="25" t="s">
        <v>492</v>
      </c>
      <c r="F187" s="25" t="s">
        <v>487</v>
      </c>
      <c r="G187" s="26">
        <v>45480</v>
      </c>
      <c r="H187" s="26">
        <v>45655</v>
      </c>
      <c r="I187" s="26">
        <v>45371</v>
      </c>
      <c r="J187" s="27">
        <v>339</v>
      </c>
      <c r="K187" s="27">
        <v>13163.369999999999</v>
      </c>
      <c r="L187" s="27">
        <v>2647.43</v>
      </c>
      <c r="M187" s="25" t="s">
        <v>481</v>
      </c>
      <c r="N187" s="25" t="s">
        <v>477</v>
      </c>
      <c r="O187" s="25" t="s">
        <v>476</v>
      </c>
      <c r="P187" s="28">
        <v>14</v>
      </c>
      <c r="Q187" s="23"/>
      <c r="R187" s="23"/>
      <c r="S187" s="23"/>
      <c r="T187" s="23"/>
      <c r="U187" s="23"/>
      <c r="V187" s="23"/>
    </row>
    <row r="188" spans="1:22" x14ac:dyDescent="0.3">
      <c r="A188" s="23"/>
      <c r="B188" s="24" t="s">
        <v>176</v>
      </c>
      <c r="C188" s="25" t="s">
        <v>495</v>
      </c>
      <c r="D188" s="25" t="s">
        <v>534</v>
      </c>
      <c r="E188" s="25" t="s">
        <v>490</v>
      </c>
      <c r="F188" s="25" t="s">
        <v>486</v>
      </c>
      <c r="G188" s="26">
        <v>45300</v>
      </c>
      <c r="H188" s="26">
        <v>45655</v>
      </c>
      <c r="I188" s="26">
        <v>45023</v>
      </c>
      <c r="J188" s="27">
        <v>259</v>
      </c>
      <c r="K188" s="27">
        <v>101776.64</v>
      </c>
      <c r="L188" s="27">
        <v>4707.29</v>
      </c>
      <c r="M188" s="25" t="s">
        <v>481</v>
      </c>
      <c r="N188" s="25" t="s">
        <v>480</v>
      </c>
      <c r="O188" s="25" t="s">
        <v>474</v>
      </c>
      <c r="P188" s="28">
        <v>26</v>
      </c>
      <c r="Q188" s="23"/>
      <c r="R188" s="23"/>
      <c r="S188" s="23"/>
      <c r="T188" s="23"/>
      <c r="U188" s="23"/>
      <c r="V188" s="23"/>
    </row>
    <row r="189" spans="1:22" x14ac:dyDescent="0.3">
      <c r="A189" s="23"/>
      <c r="B189" s="24" t="s">
        <v>177</v>
      </c>
      <c r="C189" s="25" t="s">
        <v>495</v>
      </c>
      <c r="D189" s="25" t="s">
        <v>535</v>
      </c>
      <c r="E189" s="25" t="s">
        <v>490</v>
      </c>
      <c r="F189" s="25" t="s">
        <v>487</v>
      </c>
      <c r="G189" s="26">
        <v>45563</v>
      </c>
      <c r="H189" s="26">
        <v>45263</v>
      </c>
      <c r="I189" s="26">
        <v>45551</v>
      </c>
      <c r="J189" s="27">
        <v>474</v>
      </c>
      <c r="K189" s="27">
        <v>69417.299999999988</v>
      </c>
      <c r="L189" s="27">
        <v>9988.98</v>
      </c>
      <c r="M189" s="25" t="s">
        <v>481</v>
      </c>
      <c r="N189" s="25" t="s">
        <v>477</v>
      </c>
      <c r="O189" s="25" t="s">
        <v>474</v>
      </c>
      <c r="P189" s="28">
        <v>26</v>
      </c>
      <c r="Q189" s="23"/>
      <c r="R189" s="23"/>
      <c r="S189" s="23"/>
      <c r="T189" s="23"/>
      <c r="U189" s="23"/>
      <c r="V189" s="23"/>
    </row>
    <row r="190" spans="1:22" x14ac:dyDescent="0.3">
      <c r="A190" s="23"/>
      <c r="B190" s="24" t="s">
        <v>178</v>
      </c>
      <c r="C190" s="25" t="s">
        <v>493</v>
      </c>
      <c r="D190" s="25" t="s">
        <v>535</v>
      </c>
      <c r="E190" s="25" t="s">
        <v>492</v>
      </c>
      <c r="F190" s="25" t="s">
        <v>485</v>
      </c>
      <c r="G190" s="26">
        <v>45385</v>
      </c>
      <c r="H190" s="26">
        <v>44982</v>
      </c>
      <c r="I190" s="26">
        <v>45072</v>
      </c>
      <c r="J190" s="27">
        <v>478</v>
      </c>
      <c r="K190" s="27">
        <v>164570.62</v>
      </c>
      <c r="L190" s="27">
        <v>2336.7800000000002</v>
      </c>
      <c r="M190" s="25" t="s">
        <v>482</v>
      </c>
      <c r="N190" s="25" t="s">
        <v>480</v>
      </c>
      <c r="O190" s="25" t="s">
        <v>475</v>
      </c>
      <c r="P190" s="28">
        <v>29</v>
      </c>
      <c r="Q190" s="23"/>
      <c r="R190" s="23"/>
      <c r="S190" s="23"/>
      <c r="T190" s="23"/>
      <c r="U190" s="23"/>
      <c r="V190" s="23"/>
    </row>
    <row r="191" spans="1:22" x14ac:dyDescent="0.3">
      <c r="A191" s="23"/>
      <c r="B191" s="24" t="s">
        <v>179</v>
      </c>
      <c r="C191" s="25" t="s">
        <v>496</v>
      </c>
      <c r="D191" s="25" t="s">
        <v>535</v>
      </c>
      <c r="E191" s="25" t="s">
        <v>490</v>
      </c>
      <c r="F191" s="25" t="s">
        <v>487</v>
      </c>
      <c r="G191" s="26">
        <v>45206</v>
      </c>
      <c r="H191" s="26">
        <v>45427</v>
      </c>
      <c r="I191" s="26">
        <v>45221</v>
      </c>
      <c r="J191" s="27">
        <v>650</v>
      </c>
      <c r="K191" s="27">
        <v>110220.5</v>
      </c>
      <c r="L191" s="27">
        <v>1414.63</v>
      </c>
      <c r="M191" s="25" t="s">
        <v>482</v>
      </c>
      <c r="N191" s="25" t="s">
        <v>478</v>
      </c>
      <c r="O191" s="25" t="s">
        <v>475</v>
      </c>
      <c r="P191" s="28">
        <v>6</v>
      </c>
      <c r="Q191" s="23"/>
      <c r="R191" s="23"/>
      <c r="S191" s="23"/>
      <c r="T191" s="23"/>
      <c r="U191" s="23"/>
      <c r="V191" s="23"/>
    </row>
    <row r="192" spans="1:22" x14ac:dyDescent="0.3">
      <c r="A192" s="23"/>
      <c r="B192" s="24" t="s">
        <v>180</v>
      </c>
      <c r="C192" s="25" t="s">
        <v>494</v>
      </c>
      <c r="D192" s="25" t="s">
        <v>535</v>
      </c>
      <c r="E192" s="25" t="s">
        <v>490</v>
      </c>
      <c r="F192" s="25" t="s">
        <v>487</v>
      </c>
      <c r="G192" s="26">
        <v>45626</v>
      </c>
      <c r="H192" s="26">
        <v>45463</v>
      </c>
      <c r="I192" s="26">
        <v>45362</v>
      </c>
      <c r="J192" s="27">
        <v>592</v>
      </c>
      <c r="K192" s="27">
        <v>19541.919999999998</v>
      </c>
      <c r="L192" s="27">
        <v>4765.5200000000004</v>
      </c>
      <c r="M192" s="25" t="s">
        <v>484</v>
      </c>
      <c r="N192" s="25" t="s">
        <v>477</v>
      </c>
      <c r="O192" s="25" t="s">
        <v>476</v>
      </c>
      <c r="P192" s="28">
        <v>27</v>
      </c>
      <c r="Q192" s="23"/>
      <c r="R192" s="23"/>
      <c r="S192" s="23"/>
      <c r="T192" s="23"/>
      <c r="U192" s="23"/>
      <c r="V192" s="23"/>
    </row>
    <row r="193" spans="1:22" x14ac:dyDescent="0.3">
      <c r="A193" s="23"/>
      <c r="B193" s="24" t="s">
        <v>181</v>
      </c>
      <c r="C193" s="25" t="s">
        <v>493</v>
      </c>
      <c r="D193" s="25" t="s">
        <v>535</v>
      </c>
      <c r="E193" s="25" t="s">
        <v>491</v>
      </c>
      <c r="F193" s="25" t="s">
        <v>486</v>
      </c>
      <c r="G193" s="26">
        <v>45228</v>
      </c>
      <c r="H193" s="26">
        <v>45089</v>
      </c>
      <c r="I193" s="26">
        <v>45619</v>
      </c>
      <c r="J193" s="27">
        <v>392</v>
      </c>
      <c r="K193" s="27">
        <v>74515.28</v>
      </c>
      <c r="L193" s="27">
        <v>9294.94</v>
      </c>
      <c r="M193" s="25" t="s">
        <v>481</v>
      </c>
      <c r="N193" s="25" t="s">
        <v>480</v>
      </c>
      <c r="O193" s="25" t="s">
        <v>476</v>
      </c>
      <c r="P193" s="28">
        <v>21</v>
      </c>
      <c r="Q193" s="23"/>
      <c r="R193" s="23"/>
      <c r="S193" s="23"/>
      <c r="T193" s="23"/>
      <c r="U193" s="23"/>
      <c r="V193" s="23"/>
    </row>
    <row r="194" spans="1:22" x14ac:dyDescent="0.3">
      <c r="A194" s="23"/>
      <c r="B194" s="24" t="s">
        <v>182</v>
      </c>
      <c r="C194" s="25" t="s">
        <v>495</v>
      </c>
      <c r="D194" s="25" t="s">
        <v>534</v>
      </c>
      <c r="E194" s="25" t="s">
        <v>492</v>
      </c>
      <c r="F194" s="25" t="s">
        <v>486</v>
      </c>
      <c r="G194" s="26">
        <v>45457</v>
      </c>
      <c r="H194" s="26">
        <v>45597</v>
      </c>
      <c r="I194" s="26">
        <v>45583</v>
      </c>
      <c r="J194" s="27">
        <v>230</v>
      </c>
      <c r="K194" s="27">
        <v>108675</v>
      </c>
      <c r="L194" s="27">
        <v>4919.46</v>
      </c>
      <c r="M194" s="25" t="s">
        <v>483</v>
      </c>
      <c r="N194" s="25" t="s">
        <v>477</v>
      </c>
      <c r="O194" s="25" t="s">
        <v>474</v>
      </c>
      <c r="P194" s="28">
        <v>17</v>
      </c>
      <c r="Q194" s="23"/>
      <c r="R194" s="23"/>
      <c r="S194" s="23"/>
      <c r="T194" s="23"/>
      <c r="U194" s="23"/>
      <c r="V194" s="23"/>
    </row>
    <row r="195" spans="1:22" x14ac:dyDescent="0.3">
      <c r="A195" s="23"/>
      <c r="B195" s="24" t="s">
        <v>183</v>
      </c>
      <c r="C195" s="25" t="s">
        <v>495</v>
      </c>
      <c r="D195" s="25" t="s">
        <v>535</v>
      </c>
      <c r="E195" s="25" t="s">
        <v>492</v>
      </c>
      <c r="F195" s="25" t="s">
        <v>486</v>
      </c>
      <c r="G195" s="26">
        <v>45506</v>
      </c>
      <c r="H195" s="26">
        <v>45521</v>
      </c>
      <c r="I195" s="26">
        <v>45631</v>
      </c>
      <c r="J195" s="27">
        <v>577</v>
      </c>
      <c r="K195" s="27">
        <v>186174.82</v>
      </c>
      <c r="L195" s="27">
        <v>4622.8599999999997</v>
      </c>
      <c r="M195" s="25" t="s">
        <v>484</v>
      </c>
      <c r="N195" s="25" t="s">
        <v>477</v>
      </c>
      <c r="O195" s="25" t="s">
        <v>475</v>
      </c>
      <c r="P195" s="28">
        <v>15</v>
      </c>
      <c r="Q195" s="23"/>
      <c r="R195" s="23"/>
      <c r="S195" s="23"/>
      <c r="T195" s="23"/>
      <c r="U195" s="23"/>
      <c r="V195" s="23"/>
    </row>
    <row r="196" spans="1:22" x14ac:dyDescent="0.3">
      <c r="A196" s="23"/>
      <c r="B196" s="24" t="s">
        <v>184</v>
      </c>
      <c r="C196" s="25" t="s">
        <v>494</v>
      </c>
      <c r="D196" s="25" t="s">
        <v>534</v>
      </c>
      <c r="E196" s="25" t="s">
        <v>490</v>
      </c>
      <c r="F196" s="25" t="s">
        <v>486</v>
      </c>
      <c r="G196" s="26">
        <v>45144</v>
      </c>
      <c r="H196" s="26">
        <v>45086</v>
      </c>
      <c r="I196" s="26">
        <v>44979</v>
      </c>
      <c r="J196" s="27">
        <v>461</v>
      </c>
      <c r="K196" s="27">
        <v>155532.18</v>
      </c>
      <c r="L196" s="27">
        <v>2084.2600000000002</v>
      </c>
      <c r="M196" s="25" t="s">
        <v>482</v>
      </c>
      <c r="N196" s="25" t="s">
        <v>478</v>
      </c>
      <c r="O196" s="25" t="s">
        <v>475</v>
      </c>
      <c r="P196" s="28">
        <v>13</v>
      </c>
      <c r="Q196" s="23"/>
      <c r="R196" s="23"/>
      <c r="S196" s="23"/>
      <c r="T196" s="23"/>
      <c r="U196" s="23"/>
      <c r="V196" s="23"/>
    </row>
    <row r="197" spans="1:22" x14ac:dyDescent="0.3">
      <c r="A197" s="23"/>
      <c r="B197" s="24" t="s">
        <v>185</v>
      </c>
      <c r="C197" s="25" t="s">
        <v>495</v>
      </c>
      <c r="D197" s="25" t="s">
        <v>536</v>
      </c>
      <c r="E197" s="25" t="s">
        <v>490</v>
      </c>
      <c r="F197" s="25" t="s">
        <v>487</v>
      </c>
      <c r="G197" s="26">
        <v>45480</v>
      </c>
      <c r="H197" s="26">
        <v>44987</v>
      </c>
      <c r="I197" s="26">
        <v>45120</v>
      </c>
      <c r="J197" s="27">
        <v>381</v>
      </c>
      <c r="K197" s="27">
        <v>39433.5</v>
      </c>
      <c r="L197" s="27">
        <v>9679.23</v>
      </c>
      <c r="M197" s="25" t="s">
        <v>483</v>
      </c>
      <c r="N197" s="25" t="s">
        <v>477</v>
      </c>
      <c r="O197" s="25" t="s">
        <v>476</v>
      </c>
      <c r="P197" s="28">
        <v>26</v>
      </c>
      <c r="Q197" s="23"/>
      <c r="R197" s="23"/>
      <c r="S197" s="23"/>
      <c r="T197" s="23"/>
      <c r="U197" s="23"/>
      <c r="V197" s="23"/>
    </row>
    <row r="198" spans="1:22" x14ac:dyDescent="0.3">
      <c r="A198" s="23"/>
      <c r="B198" s="24" t="s">
        <v>186</v>
      </c>
      <c r="C198" s="25" t="s">
        <v>495</v>
      </c>
      <c r="D198" s="25" t="s">
        <v>536</v>
      </c>
      <c r="E198" s="25" t="s">
        <v>490</v>
      </c>
      <c r="F198" s="25" t="s">
        <v>487</v>
      </c>
      <c r="G198" s="26">
        <v>45214</v>
      </c>
      <c r="H198" s="26">
        <v>45246</v>
      </c>
      <c r="I198" s="26">
        <v>45066</v>
      </c>
      <c r="J198" s="27">
        <v>182</v>
      </c>
      <c r="K198" s="27">
        <v>38598.560000000005</v>
      </c>
      <c r="L198" s="27">
        <v>451.49</v>
      </c>
      <c r="M198" s="25" t="s">
        <v>483</v>
      </c>
      <c r="N198" s="25" t="s">
        <v>477</v>
      </c>
      <c r="O198" s="25" t="s">
        <v>476</v>
      </c>
      <c r="P198" s="28">
        <v>27</v>
      </c>
      <c r="Q198" s="23"/>
      <c r="R198" s="23"/>
      <c r="S198" s="23"/>
      <c r="T198" s="23"/>
      <c r="U198" s="23"/>
      <c r="V198" s="23"/>
    </row>
    <row r="199" spans="1:22" x14ac:dyDescent="0.3">
      <c r="A199" s="23"/>
      <c r="B199" s="24" t="s">
        <v>187</v>
      </c>
      <c r="C199" s="25" t="s">
        <v>496</v>
      </c>
      <c r="D199" s="25" t="s">
        <v>536</v>
      </c>
      <c r="E199" s="25" t="s">
        <v>491</v>
      </c>
      <c r="F199" s="25" t="s">
        <v>487</v>
      </c>
      <c r="G199" s="26">
        <v>45093</v>
      </c>
      <c r="H199" s="26">
        <v>45138</v>
      </c>
      <c r="I199" s="26">
        <v>45485</v>
      </c>
      <c r="J199" s="27">
        <v>449</v>
      </c>
      <c r="K199" s="27">
        <v>169147.28</v>
      </c>
      <c r="L199" s="27">
        <v>6764.12</v>
      </c>
      <c r="M199" s="25" t="s">
        <v>482</v>
      </c>
      <c r="N199" s="25" t="s">
        <v>477</v>
      </c>
      <c r="O199" s="25" t="s">
        <v>475</v>
      </c>
      <c r="P199" s="28">
        <v>17</v>
      </c>
      <c r="Q199" s="23"/>
      <c r="R199" s="23"/>
      <c r="S199" s="23"/>
      <c r="T199" s="23"/>
      <c r="U199" s="23"/>
      <c r="V199" s="23"/>
    </row>
    <row r="200" spans="1:22" x14ac:dyDescent="0.3">
      <c r="A200" s="23"/>
      <c r="B200" s="24" t="s">
        <v>188</v>
      </c>
      <c r="C200" s="25" t="s">
        <v>494</v>
      </c>
      <c r="D200" s="25" t="s">
        <v>536</v>
      </c>
      <c r="E200" s="25" t="s">
        <v>491</v>
      </c>
      <c r="F200" s="25" t="s">
        <v>486</v>
      </c>
      <c r="G200" s="26">
        <v>45547</v>
      </c>
      <c r="H200" s="26">
        <v>45333</v>
      </c>
      <c r="I200" s="26">
        <v>45334</v>
      </c>
      <c r="J200" s="27">
        <v>259</v>
      </c>
      <c r="K200" s="27">
        <v>14291.62</v>
      </c>
      <c r="L200" s="27">
        <v>8036.27</v>
      </c>
      <c r="M200" s="25" t="s">
        <v>484</v>
      </c>
      <c r="N200" s="25" t="s">
        <v>477</v>
      </c>
      <c r="O200" s="25" t="s">
        <v>475</v>
      </c>
      <c r="P200" s="28">
        <v>26</v>
      </c>
      <c r="Q200" s="23"/>
      <c r="R200" s="23"/>
      <c r="S200" s="23"/>
      <c r="T200" s="23"/>
      <c r="U200" s="23"/>
      <c r="V200" s="23"/>
    </row>
    <row r="201" spans="1:22" x14ac:dyDescent="0.3">
      <c r="A201" s="23"/>
      <c r="B201" s="24" t="s">
        <v>189</v>
      </c>
      <c r="C201" s="25" t="s">
        <v>494</v>
      </c>
      <c r="D201" s="25" t="s">
        <v>536</v>
      </c>
      <c r="E201" s="25" t="s">
        <v>490</v>
      </c>
      <c r="F201" s="25" t="s">
        <v>486</v>
      </c>
      <c r="G201" s="26">
        <v>44962</v>
      </c>
      <c r="H201" s="26">
        <v>45591</v>
      </c>
      <c r="I201" s="26">
        <v>45532</v>
      </c>
      <c r="J201" s="27">
        <v>255</v>
      </c>
      <c r="K201" s="27">
        <v>36347.699999999997</v>
      </c>
      <c r="L201" s="27">
        <v>9961.77</v>
      </c>
      <c r="M201" s="25" t="s">
        <v>481</v>
      </c>
      <c r="N201" s="25" t="s">
        <v>477</v>
      </c>
      <c r="O201" s="25" t="s">
        <v>475</v>
      </c>
      <c r="P201" s="28">
        <v>6</v>
      </c>
      <c r="Q201" s="23"/>
      <c r="R201" s="23"/>
      <c r="S201" s="23"/>
      <c r="T201" s="23"/>
      <c r="U201" s="23"/>
      <c r="V201" s="23"/>
    </row>
    <row r="202" spans="1:22" x14ac:dyDescent="0.3">
      <c r="A202" s="23"/>
      <c r="B202" s="24" t="s">
        <v>190</v>
      </c>
      <c r="C202" s="25" t="s">
        <v>495</v>
      </c>
      <c r="D202" s="25" t="s">
        <v>536</v>
      </c>
      <c r="E202" s="25" t="s">
        <v>490</v>
      </c>
      <c r="F202" s="25" t="s">
        <v>486</v>
      </c>
      <c r="G202" s="26">
        <v>45279</v>
      </c>
      <c r="H202" s="26">
        <v>45036</v>
      </c>
      <c r="I202" s="26">
        <v>45271</v>
      </c>
      <c r="J202" s="27">
        <v>457</v>
      </c>
      <c r="K202" s="27">
        <v>64793.46</v>
      </c>
      <c r="L202" s="27">
        <v>6636.59</v>
      </c>
      <c r="M202" s="25" t="s">
        <v>483</v>
      </c>
      <c r="N202" s="25" t="s">
        <v>480</v>
      </c>
      <c r="O202" s="25" t="s">
        <v>476</v>
      </c>
      <c r="P202" s="28">
        <v>16</v>
      </c>
      <c r="Q202" s="23"/>
      <c r="R202" s="23"/>
      <c r="S202" s="23"/>
      <c r="T202" s="23"/>
      <c r="U202" s="23"/>
      <c r="V202" s="23"/>
    </row>
    <row r="203" spans="1:22" x14ac:dyDescent="0.3">
      <c r="A203" s="23"/>
      <c r="B203" s="24" t="s">
        <v>191</v>
      </c>
      <c r="C203" s="25" t="s">
        <v>496</v>
      </c>
      <c r="D203" s="25" t="s">
        <v>536</v>
      </c>
      <c r="E203" s="25" t="s">
        <v>492</v>
      </c>
      <c r="F203" s="25" t="s">
        <v>487</v>
      </c>
      <c r="G203" s="26">
        <v>45602</v>
      </c>
      <c r="H203" s="26">
        <v>45003</v>
      </c>
      <c r="I203" s="26">
        <v>45634</v>
      </c>
      <c r="J203" s="27">
        <v>272</v>
      </c>
      <c r="K203" s="27">
        <v>59527.199999999997</v>
      </c>
      <c r="L203" s="27">
        <v>9335.39</v>
      </c>
      <c r="M203" s="25" t="s">
        <v>481</v>
      </c>
      <c r="N203" s="25" t="s">
        <v>480</v>
      </c>
      <c r="O203" s="25" t="s">
        <v>475</v>
      </c>
      <c r="P203" s="28">
        <v>28</v>
      </c>
      <c r="Q203" s="23"/>
      <c r="R203" s="23"/>
      <c r="S203" s="23"/>
      <c r="T203" s="23"/>
      <c r="U203" s="23"/>
      <c r="V203" s="23"/>
    </row>
    <row r="204" spans="1:22" x14ac:dyDescent="0.3">
      <c r="A204" s="23"/>
      <c r="B204" s="24" t="s">
        <v>192</v>
      </c>
      <c r="C204" s="25" t="s">
        <v>493</v>
      </c>
      <c r="D204" s="25" t="s">
        <v>536</v>
      </c>
      <c r="E204" s="25" t="s">
        <v>492</v>
      </c>
      <c r="F204" s="25" t="s">
        <v>487</v>
      </c>
      <c r="G204" s="26">
        <v>44999</v>
      </c>
      <c r="H204" s="26">
        <v>45469</v>
      </c>
      <c r="I204" s="26">
        <v>45248</v>
      </c>
      <c r="J204" s="27">
        <v>216</v>
      </c>
      <c r="K204" s="27">
        <v>105900.48</v>
      </c>
      <c r="L204" s="27">
        <v>3645.97</v>
      </c>
      <c r="M204" s="25" t="s">
        <v>484</v>
      </c>
      <c r="N204" s="25" t="s">
        <v>480</v>
      </c>
      <c r="O204" s="25" t="s">
        <v>475</v>
      </c>
      <c r="P204" s="28">
        <v>17</v>
      </c>
      <c r="Q204" s="23"/>
      <c r="R204" s="23"/>
      <c r="S204" s="23"/>
      <c r="T204" s="23"/>
      <c r="U204" s="23"/>
      <c r="V204" s="23"/>
    </row>
    <row r="205" spans="1:22" x14ac:dyDescent="0.3">
      <c r="A205" s="23"/>
      <c r="B205" s="24" t="s">
        <v>193</v>
      </c>
      <c r="C205" s="25" t="s">
        <v>495</v>
      </c>
      <c r="D205" s="25" t="s">
        <v>536</v>
      </c>
      <c r="E205" s="25" t="s">
        <v>492</v>
      </c>
      <c r="F205" s="25" t="s">
        <v>487</v>
      </c>
      <c r="G205" s="26">
        <v>45574</v>
      </c>
      <c r="H205" s="26">
        <v>45241</v>
      </c>
      <c r="I205" s="26">
        <v>45548</v>
      </c>
      <c r="J205" s="27">
        <v>135</v>
      </c>
      <c r="K205" s="27">
        <v>5185.3499999999995</v>
      </c>
      <c r="L205" s="27">
        <v>8099.79</v>
      </c>
      <c r="M205" s="25" t="s">
        <v>484</v>
      </c>
      <c r="N205" s="25" t="s">
        <v>477</v>
      </c>
      <c r="O205" s="25" t="s">
        <v>476</v>
      </c>
      <c r="P205" s="28">
        <v>11</v>
      </c>
      <c r="Q205" s="23"/>
      <c r="R205" s="23"/>
      <c r="S205" s="23"/>
      <c r="T205" s="23"/>
      <c r="U205" s="23"/>
      <c r="V205" s="23"/>
    </row>
    <row r="206" spans="1:22" x14ac:dyDescent="0.3">
      <c r="A206" s="23"/>
      <c r="B206" s="24" t="s">
        <v>194</v>
      </c>
      <c r="C206" s="25" t="s">
        <v>495</v>
      </c>
      <c r="D206" s="25" t="s">
        <v>536</v>
      </c>
      <c r="E206" s="25" t="s">
        <v>490</v>
      </c>
      <c r="F206" s="25" t="s">
        <v>486</v>
      </c>
      <c r="G206" s="26">
        <v>45279</v>
      </c>
      <c r="H206" s="26">
        <v>45044</v>
      </c>
      <c r="I206" s="26">
        <v>45293</v>
      </c>
      <c r="J206" s="27">
        <v>161</v>
      </c>
      <c r="K206" s="27">
        <v>42143.360000000001</v>
      </c>
      <c r="L206" s="27">
        <v>6976.75</v>
      </c>
      <c r="M206" s="25" t="s">
        <v>481</v>
      </c>
      <c r="N206" s="25" t="s">
        <v>477</v>
      </c>
      <c r="O206" s="25" t="s">
        <v>476</v>
      </c>
      <c r="P206" s="28">
        <v>7</v>
      </c>
      <c r="Q206" s="23"/>
      <c r="R206" s="23"/>
      <c r="S206" s="23"/>
      <c r="T206" s="23"/>
      <c r="U206" s="23"/>
      <c r="V206" s="23"/>
    </row>
    <row r="207" spans="1:22" x14ac:dyDescent="0.3">
      <c r="A207" s="23"/>
      <c r="B207" s="24" t="s">
        <v>195</v>
      </c>
      <c r="C207" s="25" t="s">
        <v>495</v>
      </c>
      <c r="D207" s="25" t="s">
        <v>536</v>
      </c>
      <c r="E207" s="25" t="s">
        <v>490</v>
      </c>
      <c r="F207" s="25" t="s">
        <v>486</v>
      </c>
      <c r="G207" s="26">
        <v>44996</v>
      </c>
      <c r="H207" s="26">
        <v>45631</v>
      </c>
      <c r="I207" s="26">
        <v>45312</v>
      </c>
      <c r="J207" s="27">
        <v>601</v>
      </c>
      <c r="K207" s="27">
        <v>56367.79</v>
      </c>
      <c r="L207" s="27">
        <v>2892.79</v>
      </c>
      <c r="M207" s="25" t="s">
        <v>482</v>
      </c>
      <c r="N207" s="25" t="s">
        <v>480</v>
      </c>
      <c r="O207" s="25" t="s">
        <v>476</v>
      </c>
      <c r="P207" s="28">
        <v>21</v>
      </c>
      <c r="Q207" s="23"/>
      <c r="R207" s="23"/>
      <c r="S207" s="23"/>
      <c r="T207" s="23"/>
      <c r="U207" s="23"/>
      <c r="V207" s="23"/>
    </row>
    <row r="208" spans="1:22" x14ac:dyDescent="0.3">
      <c r="A208" s="23"/>
      <c r="B208" s="24" t="s">
        <v>196</v>
      </c>
      <c r="C208" s="25" t="s">
        <v>493</v>
      </c>
      <c r="D208" s="25" t="s">
        <v>536</v>
      </c>
      <c r="E208" s="25" t="s">
        <v>491</v>
      </c>
      <c r="F208" s="25" t="s">
        <v>485</v>
      </c>
      <c r="G208" s="26">
        <v>45634</v>
      </c>
      <c r="H208" s="26">
        <v>45359</v>
      </c>
      <c r="I208" s="26">
        <v>45274</v>
      </c>
      <c r="J208" s="27">
        <v>370</v>
      </c>
      <c r="K208" s="27">
        <v>22603.300000000003</v>
      </c>
      <c r="L208" s="27">
        <v>550.98</v>
      </c>
      <c r="M208" s="25" t="s">
        <v>482</v>
      </c>
      <c r="N208" s="25" t="s">
        <v>477</v>
      </c>
      <c r="O208" s="25" t="s">
        <v>476</v>
      </c>
      <c r="P208" s="28">
        <v>29</v>
      </c>
      <c r="Q208" s="23"/>
      <c r="R208" s="23"/>
      <c r="S208" s="23"/>
      <c r="T208" s="23"/>
      <c r="U208" s="23"/>
      <c r="V208" s="23"/>
    </row>
    <row r="209" spans="1:22" x14ac:dyDescent="0.3">
      <c r="A209" s="23"/>
      <c r="B209" s="24" t="s">
        <v>197</v>
      </c>
      <c r="C209" s="25" t="s">
        <v>495</v>
      </c>
      <c r="D209" s="25" t="s">
        <v>536</v>
      </c>
      <c r="E209" s="25" t="s">
        <v>491</v>
      </c>
      <c r="F209" s="25" t="s">
        <v>486</v>
      </c>
      <c r="G209" s="26">
        <v>45487</v>
      </c>
      <c r="H209" s="26">
        <v>45612</v>
      </c>
      <c r="I209" s="26">
        <v>45479</v>
      </c>
      <c r="J209" s="27">
        <v>348</v>
      </c>
      <c r="K209" s="27">
        <v>71263.44</v>
      </c>
      <c r="L209" s="27">
        <v>4215.1400000000003</v>
      </c>
      <c r="M209" s="25" t="s">
        <v>481</v>
      </c>
      <c r="N209" s="25" t="s">
        <v>477</v>
      </c>
      <c r="O209" s="25" t="s">
        <v>475</v>
      </c>
      <c r="P209" s="28">
        <v>1</v>
      </c>
      <c r="Q209" s="23"/>
      <c r="R209" s="23"/>
      <c r="S209" s="23"/>
      <c r="T209" s="23"/>
      <c r="U209" s="23"/>
      <c r="V209" s="23"/>
    </row>
    <row r="210" spans="1:22" x14ac:dyDescent="0.3">
      <c r="A210" s="23"/>
      <c r="B210" s="24" t="s">
        <v>559</v>
      </c>
      <c r="C210" s="25" t="s">
        <v>496</v>
      </c>
      <c r="D210" s="25" t="s">
        <v>535</v>
      </c>
      <c r="E210" s="25" t="s">
        <v>490</v>
      </c>
      <c r="F210" s="25" t="s">
        <v>486</v>
      </c>
      <c r="G210" s="26">
        <v>45568</v>
      </c>
      <c r="H210" s="26">
        <v>45667</v>
      </c>
      <c r="I210" s="26">
        <v>45483</v>
      </c>
      <c r="J210" s="27">
        <v>255</v>
      </c>
      <c r="K210" s="27">
        <v>94413.75</v>
      </c>
      <c r="L210" s="27">
        <v>8900.7199999999993</v>
      </c>
      <c r="M210" s="25" t="s">
        <v>484</v>
      </c>
      <c r="N210" s="25" t="s">
        <v>480</v>
      </c>
      <c r="O210" s="25" t="s">
        <v>475</v>
      </c>
      <c r="P210" s="28">
        <v>6</v>
      </c>
      <c r="Q210" s="23"/>
      <c r="R210" s="23"/>
      <c r="S210" s="23"/>
      <c r="T210" s="23"/>
      <c r="U210" s="23"/>
      <c r="V210" s="23"/>
    </row>
    <row r="211" spans="1:22" x14ac:dyDescent="0.3">
      <c r="A211" s="23"/>
      <c r="B211" s="24" t="s">
        <v>198</v>
      </c>
      <c r="C211" s="25" t="s">
        <v>496</v>
      </c>
      <c r="D211" s="25" t="s">
        <v>535</v>
      </c>
      <c r="E211" s="25" t="s">
        <v>490</v>
      </c>
      <c r="F211" s="25" t="s">
        <v>486</v>
      </c>
      <c r="G211" s="26">
        <v>45443</v>
      </c>
      <c r="H211" s="26">
        <v>45277</v>
      </c>
      <c r="I211" s="26">
        <v>45459</v>
      </c>
      <c r="J211" s="27">
        <v>141</v>
      </c>
      <c r="K211" s="27">
        <v>49878.75</v>
      </c>
      <c r="L211" s="27">
        <v>3483.58</v>
      </c>
      <c r="M211" s="25" t="s">
        <v>482</v>
      </c>
      <c r="N211" s="25" t="s">
        <v>478</v>
      </c>
      <c r="O211" s="25" t="s">
        <v>475</v>
      </c>
      <c r="P211" s="28">
        <v>3</v>
      </c>
      <c r="Q211" s="23"/>
      <c r="R211" s="23"/>
      <c r="S211" s="23"/>
      <c r="T211" s="23"/>
      <c r="U211" s="23"/>
      <c r="V211" s="23"/>
    </row>
    <row r="212" spans="1:22" x14ac:dyDescent="0.3">
      <c r="A212" s="23"/>
      <c r="B212" s="24" t="s">
        <v>199</v>
      </c>
      <c r="C212" s="25" t="s">
        <v>494</v>
      </c>
      <c r="D212" s="25" t="s">
        <v>534</v>
      </c>
      <c r="E212" s="25" t="s">
        <v>490</v>
      </c>
      <c r="F212" s="25" t="s">
        <v>488</v>
      </c>
      <c r="G212" s="26">
        <v>45354</v>
      </c>
      <c r="H212" s="26">
        <v>45110</v>
      </c>
      <c r="I212" s="26">
        <v>45501</v>
      </c>
      <c r="J212" s="27">
        <v>246</v>
      </c>
      <c r="K212" s="27">
        <v>52705.5</v>
      </c>
      <c r="L212" s="27">
        <v>3657.47</v>
      </c>
      <c r="M212" s="25" t="s">
        <v>481</v>
      </c>
      <c r="N212" s="25" t="s">
        <v>477</v>
      </c>
      <c r="O212" s="25" t="s">
        <v>476</v>
      </c>
      <c r="P212" s="28">
        <v>17</v>
      </c>
      <c r="Q212" s="23"/>
      <c r="R212" s="23"/>
      <c r="S212" s="23"/>
      <c r="T212" s="23"/>
      <c r="U212" s="23"/>
      <c r="V212" s="23"/>
    </row>
    <row r="213" spans="1:22" x14ac:dyDescent="0.3">
      <c r="A213" s="23"/>
      <c r="B213" s="24" t="s">
        <v>200</v>
      </c>
      <c r="C213" s="25" t="s">
        <v>495</v>
      </c>
      <c r="D213" s="25" t="s">
        <v>535</v>
      </c>
      <c r="E213" s="25" t="s">
        <v>492</v>
      </c>
      <c r="F213" s="25" t="s">
        <v>488</v>
      </c>
      <c r="G213" s="26">
        <v>45465</v>
      </c>
      <c r="H213" s="26">
        <v>45040</v>
      </c>
      <c r="I213" s="26">
        <v>45113</v>
      </c>
      <c r="J213" s="27">
        <v>229</v>
      </c>
      <c r="K213" s="27">
        <v>40425.370000000003</v>
      </c>
      <c r="L213" s="27">
        <v>4277.2700000000004</v>
      </c>
      <c r="M213" s="25" t="s">
        <v>481</v>
      </c>
      <c r="N213" s="25" t="s">
        <v>477</v>
      </c>
      <c r="O213" s="25" t="s">
        <v>476</v>
      </c>
      <c r="P213" s="28">
        <v>27</v>
      </c>
      <c r="Q213" s="23"/>
      <c r="R213" s="23"/>
      <c r="S213" s="23"/>
      <c r="T213" s="23"/>
      <c r="U213" s="23"/>
      <c r="V213" s="23"/>
    </row>
    <row r="214" spans="1:22" x14ac:dyDescent="0.3">
      <c r="A214" s="23"/>
      <c r="B214" s="24" t="s">
        <v>201</v>
      </c>
      <c r="C214" s="25" t="s">
        <v>495</v>
      </c>
      <c r="D214" s="25" t="s">
        <v>535</v>
      </c>
      <c r="E214" s="25" t="s">
        <v>491</v>
      </c>
      <c r="F214" s="25" t="s">
        <v>488</v>
      </c>
      <c r="G214" s="26">
        <v>45086</v>
      </c>
      <c r="H214" s="26">
        <v>45110</v>
      </c>
      <c r="I214" s="26">
        <v>44971</v>
      </c>
      <c r="J214" s="27">
        <v>298</v>
      </c>
      <c r="K214" s="27">
        <v>60142.36</v>
      </c>
      <c r="L214" s="27">
        <v>719.2</v>
      </c>
      <c r="M214" s="25" t="s">
        <v>481</v>
      </c>
      <c r="N214" s="25" t="s">
        <v>479</v>
      </c>
      <c r="O214" s="25" t="s">
        <v>475</v>
      </c>
      <c r="P214" s="28">
        <v>5</v>
      </c>
      <c r="Q214" s="23"/>
      <c r="R214" s="23"/>
      <c r="S214" s="23"/>
      <c r="T214" s="23"/>
      <c r="U214" s="23"/>
      <c r="V214" s="23"/>
    </row>
    <row r="215" spans="1:22" x14ac:dyDescent="0.3">
      <c r="A215" s="23"/>
      <c r="B215" s="24" t="s">
        <v>202</v>
      </c>
      <c r="C215" s="25" t="s">
        <v>495</v>
      </c>
      <c r="D215" s="25" t="s">
        <v>535</v>
      </c>
      <c r="E215" s="25" t="s">
        <v>491</v>
      </c>
      <c r="F215" s="25" t="s">
        <v>488</v>
      </c>
      <c r="G215" s="26">
        <v>45075</v>
      </c>
      <c r="H215" s="26">
        <v>45408</v>
      </c>
      <c r="I215" s="26">
        <v>45481</v>
      </c>
      <c r="J215" s="27">
        <v>498</v>
      </c>
      <c r="K215" s="27">
        <v>67638.36</v>
      </c>
      <c r="L215" s="27">
        <v>3296.23</v>
      </c>
      <c r="M215" s="25" t="s">
        <v>484</v>
      </c>
      <c r="N215" s="25" t="s">
        <v>477</v>
      </c>
      <c r="O215" s="25" t="s">
        <v>475</v>
      </c>
      <c r="P215" s="28">
        <v>26</v>
      </c>
      <c r="Q215" s="23"/>
      <c r="R215" s="23"/>
      <c r="S215" s="23"/>
      <c r="T215" s="23"/>
      <c r="U215" s="23"/>
      <c r="V215" s="23"/>
    </row>
    <row r="216" spans="1:22" x14ac:dyDescent="0.3">
      <c r="A216" s="23"/>
      <c r="B216" s="24" t="s">
        <v>203</v>
      </c>
      <c r="C216" s="25" t="s">
        <v>493</v>
      </c>
      <c r="D216" s="25" t="s">
        <v>535</v>
      </c>
      <c r="E216" s="25" t="s">
        <v>490</v>
      </c>
      <c r="F216" s="25" t="s">
        <v>485</v>
      </c>
      <c r="G216" s="26">
        <v>45638</v>
      </c>
      <c r="H216" s="26">
        <v>45555</v>
      </c>
      <c r="I216" s="26">
        <v>45634</v>
      </c>
      <c r="J216" s="27">
        <v>519</v>
      </c>
      <c r="K216" s="27">
        <v>126687.9</v>
      </c>
      <c r="L216" s="27">
        <v>3540.65</v>
      </c>
      <c r="M216" s="25" t="s">
        <v>484</v>
      </c>
      <c r="N216" s="25" t="s">
        <v>479</v>
      </c>
      <c r="O216" s="25" t="s">
        <v>476</v>
      </c>
      <c r="P216" s="28">
        <v>8</v>
      </c>
      <c r="Q216" s="23"/>
      <c r="R216" s="23"/>
      <c r="S216" s="23"/>
      <c r="T216" s="23"/>
      <c r="U216" s="23"/>
      <c r="V216" s="23"/>
    </row>
    <row r="217" spans="1:22" x14ac:dyDescent="0.3">
      <c r="A217" s="23"/>
      <c r="B217" s="24" t="s">
        <v>204</v>
      </c>
      <c r="C217" s="25" t="s">
        <v>495</v>
      </c>
      <c r="D217" s="25" t="s">
        <v>535</v>
      </c>
      <c r="E217" s="25" t="s">
        <v>490</v>
      </c>
      <c r="F217" s="25" t="s">
        <v>486</v>
      </c>
      <c r="G217" s="26">
        <v>45488</v>
      </c>
      <c r="H217" s="26">
        <v>45040</v>
      </c>
      <c r="I217" s="26">
        <v>45424</v>
      </c>
      <c r="J217" s="27">
        <v>512</v>
      </c>
      <c r="K217" s="27">
        <v>70615.039999999994</v>
      </c>
      <c r="L217" s="27">
        <v>2419.56</v>
      </c>
      <c r="M217" s="25" t="s">
        <v>482</v>
      </c>
      <c r="N217" s="25" t="s">
        <v>479</v>
      </c>
      <c r="O217" s="25" t="s">
        <v>475</v>
      </c>
      <c r="P217" s="28">
        <v>26</v>
      </c>
      <c r="Q217" s="23"/>
      <c r="R217" s="23"/>
      <c r="S217" s="23"/>
      <c r="T217" s="23"/>
      <c r="U217" s="23"/>
      <c r="V217" s="23"/>
    </row>
    <row r="218" spans="1:22" x14ac:dyDescent="0.3">
      <c r="A218" s="23"/>
      <c r="B218" s="24" t="s">
        <v>205</v>
      </c>
      <c r="C218" s="25" t="s">
        <v>496</v>
      </c>
      <c r="D218" s="25" t="s">
        <v>535</v>
      </c>
      <c r="E218" s="25" t="s">
        <v>490</v>
      </c>
      <c r="F218" s="25" t="s">
        <v>486</v>
      </c>
      <c r="G218" s="26">
        <v>44993</v>
      </c>
      <c r="H218" s="26">
        <v>45403</v>
      </c>
      <c r="I218" s="26">
        <v>45589</v>
      </c>
      <c r="J218" s="27">
        <v>597</v>
      </c>
      <c r="K218" s="27">
        <v>87932.12999999999</v>
      </c>
      <c r="L218" s="27">
        <v>7655.32</v>
      </c>
      <c r="M218" s="25" t="s">
        <v>482</v>
      </c>
      <c r="N218" s="25" t="s">
        <v>478</v>
      </c>
      <c r="O218" s="25" t="s">
        <v>474</v>
      </c>
      <c r="P218" s="28">
        <v>8</v>
      </c>
      <c r="Q218" s="23"/>
      <c r="R218" s="23"/>
      <c r="S218" s="23"/>
      <c r="T218" s="23"/>
      <c r="U218" s="23"/>
      <c r="V218" s="23"/>
    </row>
    <row r="219" spans="1:22" x14ac:dyDescent="0.3">
      <c r="A219" s="23"/>
      <c r="B219" s="24" t="s">
        <v>206</v>
      </c>
      <c r="C219" s="25" t="s">
        <v>496</v>
      </c>
      <c r="D219" s="25" t="s">
        <v>535</v>
      </c>
      <c r="E219" s="25" t="s">
        <v>490</v>
      </c>
      <c r="F219" s="25" t="s">
        <v>486</v>
      </c>
      <c r="G219" s="26">
        <v>45307</v>
      </c>
      <c r="H219" s="26">
        <v>45230</v>
      </c>
      <c r="I219" s="26">
        <v>45263</v>
      </c>
      <c r="J219" s="27">
        <v>94</v>
      </c>
      <c r="K219" s="27">
        <v>31028.46</v>
      </c>
      <c r="L219" s="27">
        <v>6801.07</v>
      </c>
      <c r="M219" s="25" t="s">
        <v>483</v>
      </c>
      <c r="N219" s="25" t="s">
        <v>479</v>
      </c>
      <c r="O219" s="25" t="s">
        <v>476</v>
      </c>
      <c r="P219" s="28">
        <v>13</v>
      </c>
      <c r="Q219" s="23"/>
      <c r="R219" s="23"/>
      <c r="S219" s="23"/>
      <c r="T219" s="23"/>
      <c r="U219" s="23"/>
      <c r="V219" s="23"/>
    </row>
    <row r="220" spans="1:22" x14ac:dyDescent="0.3">
      <c r="A220" s="23"/>
      <c r="B220" s="24" t="s">
        <v>207</v>
      </c>
      <c r="C220" s="25" t="s">
        <v>494</v>
      </c>
      <c r="D220" s="25" t="s">
        <v>535</v>
      </c>
      <c r="E220" s="25" t="s">
        <v>490</v>
      </c>
      <c r="F220" s="25" t="s">
        <v>487</v>
      </c>
      <c r="G220" s="26">
        <v>44984</v>
      </c>
      <c r="H220" s="26">
        <v>45045</v>
      </c>
      <c r="I220" s="26">
        <v>45057</v>
      </c>
      <c r="J220" s="27">
        <v>179</v>
      </c>
      <c r="K220" s="27">
        <v>86712.97</v>
      </c>
      <c r="L220" s="27">
        <v>3762.57</v>
      </c>
      <c r="M220" s="25" t="s">
        <v>481</v>
      </c>
      <c r="N220" s="25" t="s">
        <v>478</v>
      </c>
      <c r="O220" s="25" t="s">
        <v>474</v>
      </c>
      <c r="P220" s="28">
        <v>7</v>
      </c>
      <c r="Q220" s="23"/>
      <c r="R220" s="23"/>
      <c r="S220" s="23"/>
      <c r="T220" s="23"/>
      <c r="U220" s="23"/>
      <c r="V220" s="23"/>
    </row>
    <row r="221" spans="1:22" x14ac:dyDescent="0.3">
      <c r="A221" s="23"/>
      <c r="B221" s="24" t="s">
        <v>208</v>
      </c>
      <c r="C221" s="25" t="s">
        <v>495</v>
      </c>
      <c r="D221" s="25" t="s">
        <v>534</v>
      </c>
      <c r="E221" s="25" t="s">
        <v>491</v>
      </c>
      <c r="F221" s="25" t="s">
        <v>486</v>
      </c>
      <c r="G221" s="26">
        <v>45268</v>
      </c>
      <c r="H221" s="26">
        <v>45328</v>
      </c>
      <c r="I221" s="26">
        <v>45487</v>
      </c>
      <c r="J221" s="27">
        <v>333</v>
      </c>
      <c r="K221" s="27">
        <v>14352.300000000001</v>
      </c>
      <c r="L221" s="27">
        <v>4277.2700000000004</v>
      </c>
      <c r="M221" s="25" t="s">
        <v>481</v>
      </c>
      <c r="N221" s="25" t="s">
        <v>477</v>
      </c>
      <c r="O221" s="25" t="s">
        <v>476</v>
      </c>
      <c r="P221" s="28">
        <v>18</v>
      </c>
      <c r="Q221" s="23"/>
      <c r="R221" s="23"/>
      <c r="S221" s="23"/>
      <c r="T221" s="23"/>
      <c r="U221" s="23"/>
      <c r="V221" s="23"/>
    </row>
    <row r="222" spans="1:22" x14ac:dyDescent="0.3">
      <c r="A222" s="23"/>
      <c r="B222" s="24" t="s">
        <v>209</v>
      </c>
      <c r="C222" s="25" t="s">
        <v>494</v>
      </c>
      <c r="D222" s="25" t="s">
        <v>536</v>
      </c>
      <c r="E222" s="25" t="s">
        <v>490</v>
      </c>
      <c r="F222" s="25" t="s">
        <v>485</v>
      </c>
      <c r="G222" s="26">
        <v>45056</v>
      </c>
      <c r="H222" s="26">
        <v>45125</v>
      </c>
      <c r="I222" s="26">
        <v>44931</v>
      </c>
      <c r="J222" s="27">
        <v>554</v>
      </c>
      <c r="K222" s="27">
        <v>23495.14</v>
      </c>
      <c r="L222" s="27">
        <v>5123.05</v>
      </c>
      <c r="M222" s="25" t="s">
        <v>483</v>
      </c>
      <c r="N222" s="25" t="s">
        <v>477</v>
      </c>
      <c r="O222" s="25" t="s">
        <v>476</v>
      </c>
      <c r="P222" s="28">
        <v>2</v>
      </c>
      <c r="Q222" s="23"/>
      <c r="R222" s="23"/>
      <c r="S222" s="23"/>
      <c r="T222" s="23"/>
      <c r="U222" s="23"/>
      <c r="V222" s="23"/>
    </row>
    <row r="223" spans="1:22" x14ac:dyDescent="0.3">
      <c r="A223" s="23"/>
      <c r="B223" s="24" t="s">
        <v>210</v>
      </c>
      <c r="C223" s="25" t="s">
        <v>493</v>
      </c>
      <c r="D223" s="25" t="s">
        <v>534</v>
      </c>
      <c r="E223" s="25" t="s">
        <v>492</v>
      </c>
      <c r="F223" s="25" t="s">
        <v>485</v>
      </c>
      <c r="G223" s="26">
        <v>45653</v>
      </c>
      <c r="H223" s="26">
        <v>45187</v>
      </c>
      <c r="I223" s="26">
        <v>45098</v>
      </c>
      <c r="J223" s="27">
        <v>441</v>
      </c>
      <c r="K223" s="27">
        <v>209893.94999999998</v>
      </c>
      <c r="L223" s="27">
        <v>1298.5899999999999</v>
      </c>
      <c r="M223" s="25" t="s">
        <v>481</v>
      </c>
      <c r="N223" s="25" t="s">
        <v>478</v>
      </c>
      <c r="O223" s="25" t="s">
        <v>475</v>
      </c>
      <c r="P223" s="28">
        <v>17</v>
      </c>
      <c r="Q223" s="23"/>
      <c r="R223" s="23"/>
      <c r="S223" s="23"/>
      <c r="T223" s="23"/>
      <c r="U223" s="23"/>
      <c r="V223" s="23"/>
    </row>
    <row r="224" spans="1:22" x14ac:dyDescent="0.3">
      <c r="A224" s="23"/>
      <c r="B224" s="24" t="s">
        <v>211</v>
      </c>
      <c r="C224" s="25" t="s">
        <v>493</v>
      </c>
      <c r="D224" s="25" t="s">
        <v>534</v>
      </c>
      <c r="E224" s="25" t="s">
        <v>490</v>
      </c>
      <c r="F224" s="25" t="s">
        <v>485</v>
      </c>
      <c r="G224" s="26">
        <v>45098</v>
      </c>
      <c r="H224" s="26">
        <v>45587</v>
      </c>
      <c r="I224" s="26">
        <v>45550</v>
      </c>
      <c r="J224" s="27">
        <v>445</v>
      </c>
      <c r="K224" s="27">
        <v>67711.199999999997</v>
      </c>
      <c r="L224" s="27">
        <v>2155.7800000000002</v>
      </c>
      <c r="M224" s="25" t="s">
        <v>481</v>
      </c>
      <c r="N224" s="25" t="s">
        <v>478</v>
      </c>
      <c r="O224" s="25" t="s">
        <v>475</v>
      </c>
      <c r="P224" s="28">
        <v>4</v>
      </c>
      <c r="Q224" s="23"/>
      <c r="R224" s="23"/>
      <c r="S224" s="23"/>
      <c r="T224" s="23"/>
      <c r="U224" s="23"/>
      <c r="V224" s="23"/>
    </row>
    <row r="225" spans="1:22" x14ac:dyDescent="0.3">
      <c r="A225" s="23"/>
      <c r="B225" s="24" t="s">
        <v>212</v>
      </c>
      <c r="C225" s="25" t="s">
        <v>495</v>
      </c>
      <c r="D225" s="25" t="s">
        <v>535</v>
      </c>
      <c r="E225" s="25" t="s">
        <v>491</v>
      </c>
      <c r="F225" s="25" t="s">
        <v>486</v>
      </c>
      <c r="G225" s="26">
        <v>45540</v>
      </c>
      <c r="H225" s="26">
        <v>44974</v>
      </c>
      <c r="I225" s="26">
        <v>44949</v>
      </c>
      <c r="J225" s="27">
        <v>607</v>
      </c>
      <c r="K225" s="27">
        <v>30695.99</v>
      </c>
      <c r="L225" s="27">
        <v>8158.65</v>
      </c>
      <c r="M225" s="25" t="s">
        <v>483</v>
      </c>
      <c r="N225" s="25" t="s">
        <v>480</v>
      </c>
      <c r="O225" s="25" t="s">
        <v>474</v>
      </c>
      <c r="P225" s="28">
        <v>13</v>
      </c>
      <c r="Q225" s="23"/>
      <c r="R225" s="23"/>
      <c r="S225" s="23"/>
      <c r="T225" s="23"/>
      <c r="U225" s="23"/>
      <c r="V225" s="23"/>
    </row>
    <row r="226" spans="1:22" x14ac:dyDescent="0.3">
      <c r="A226" s="23"/>
      <c r="B226" s="24" t="s">
        <v>213</v>
      </c>
      <c r="C226" s="25" t="s">
        <v>495</v>
      </c>
      <c r="D226" s="25" t="s">
        <v>536</v>
      </c>
      <c r="E226" s="25" t="s">
        <v>490</v>
      </c>
      <c r="F226" s="25" t="s">
        <v>486</v>
      </c>
      <c r="G226" s="26">
        <v>45135</v>
      </c>
      <c r="H226" s="26">
        <v>45326</v>
      </c>
      <c r="I226" s="26">
        <v>45262</v>
      </c>
      <c r="J226" s="27">
        <v>54</v>
      </c>
      <c r="K226" s="27">
        <v>16282.619999999999</v>
      </c>
      <c r="L226" s="27">
        <v>5827.96</v>
      </c>
      <c r="M226" s="25" t="s">
        <v>483</v>
      </c>
      <c r="N226" s="25" t="s">
        <v>480</v>
      </c>
      <c r="O226" s="25" t="s">
        <v>476</v>
      </c>
      <c r="P226" s="28">
        <v>27</v>
      </c>
      <c r="Q226" s="23"/>
      <c r="R226" s="23"/>
      <c r="S226" s="23"/>
      <c r="T226" s="23"/>
      <c r="U226" s="23"/>
      <c r="V226" s="23"/>
    </row>
    <row r="227" spans="1:22" x14ac:dyDescent="0.3">
      <c r="A227" s="23"/>
      <c r="B227" s="24" t="s">
        <v>214</v>
      </c>
      <c r="C227" s="25" t="s">
        <v>495</v>
      </c>
      <c r="D227" s="25" t="s">
        <v>536</v>
      </c>
      <c r="E227" s="25" t="s">
        <v>490</v>
      </c>
      <c r="F227" s="25" t="s">
        <v>487</v>
      </c>
      <c r="G227" s="26">
        <v>45280</v>
      </c>
      <c r="H227" s="26">
        <v>45637</v>
      </c>
      <c r="I227" s="26">
        <v>45514</v>
      </c>
      <c r="J227" s="27">
        <v>446</v>
      </c>
      <c r="K227" s="27">
        <v>139914.66</v>
      </c>
      <c r="L227" s="27">
        <v>5698.89</v>
      </c>
      <c r="M227" s="25" t="s">
        <v>481</v>
      </c>
      <c r="N227" s="25" t="s">
        <v>480</v>
      </c>
      <c r="O227" s="25" t="s">
        <v>475</v>
      </c>
      <c r="P227" s="28">
        <v>29</v>
      </c>
      <c r="Q227" s="23"/>
      <c r="R227" s="23"/>
      <c r="S227" s="23"/>
      <c r="T227" s="23"/>
      <c r="U227" s="23"/>
      <c r="V227" s="23"/>
    </row>
    <row r="228" spans="1:22" x14ac:dyDescent="0.3">
      <c r="A228" s="23"/>
      <c r="B228" s="24" t="s">
        <v>215</v>
      </c>
      <c r="C228" s="25" t="s">
        <v>494</v>
      </c>
      <c r="D228" s="25" t="s">
        <v>536</v>
      </c>
      <c r="E228" s="25" t="s">
        <v>491</v>
      </c>
      <c r="F228" s="25" t="s">
        <v>486</v>
      </c>
      <c r="G228" s="26">
        <v>45397</v>
      </c>
      <c r="H228" s="26">
        <v>45486</v>
      </c>
      <c r="I228" s="26">
        <v>45386</v>
      </c>
      <c r="J228" s="27">
        <v>553</v>
      </c>
      <c r="K228" s="27">
        <v>180283.53</v>
      </c>
      <c r="L228" s="27">
        <v>6214.29</v>
      </c>
      <c r="M228" s="25" t="s">
        <v>483</v>
      </c>
      <c r="N228" s="25" t="s">
        <v>477</v>
      </c>
      <c r="O228" s="25" t="s">
        <v>475</v>
      </c>
      <c r="P228" s="28">
        <v>3</v>
      </c>
      <c r="Q228" s="23"/>
      <c r="R228" s="23"/>
      <c r="S228" s="23"/>
      <c r="T228" s="23"/>
      <c r="U228" s="23"/>
      <c r="V228" s="23"/>
    </row>
    <row r="229" spans="1:22" x14ac:dyDescent="0.3">
      <c r="A229" s="23"/>
      <c r="B229" s="24" t="s">
        <v>216</v>
      </c>
      <c r="C229" s="25" t="s">
        <v>496</v>
      </c>
      <c r="D229" s="25" t="s">
        <v>534</v>
      </c>
      <c r="E229" s="25" t="s">
        <v>492</v>
      </c>
      <c r="F229" s="25" t="s">
        <v>486</v>
      </c>
      <c r="G229" s="26">
        <v>45042</v>
      </c>
      <c r="H229" s="26">
        <v>45005</v>
      </c>
      <c r="I229" s="26">
        <v>45039</v>
      </c>
      <c r="J229" s="27">
        <v>175</v>
      </c>
      <c r="K229" s="27">
        <v>24038.000000000004</v>
      </c>
      <c r="L229" s="27">
        <v>1089.32</v>
      </c>
      <c r="M229" s="25" t="s">
        <v>483</v>
      </c>
      <c r="N229" s="25" t="s">
        <v>477</v>
      </c>
      <c r="O229" s="25" t="s">
        <v>475</v>
      </c>
      <c r="P229" s="28">
        <v>6</v>
      </c>
      <c r="Q229" s="23"/>
      <c r="R229" s="23"/>
      <c r="S229" s="23"/>
      <c r="T229" s="23"/>
      <c r="U229" s="23"/>
      <c r="V229" s="23"/>
    </row>
    <row r="230" spans="1:22" x14ac:dyDescent="0.3">
      <c r="A230" s="23"/>
      <c r="B230" s="24" t="s">
        <v>217</v>
      </c>
      <c r="C230" s="25" t="s">
        <v>495</v>
      </c>
      <c r="D230" s="25" t="s">
        <v>534</v>
      </c>
      <c r="E230" s="25" t="s">
        <v>490</v>
      </c>
      <c r="F230" s="25" t="s">
        <v>486</v>
      </c>
      <c r="G230" s="26">
        <v>45190</v>
      </c>
      <c r="H230" s="26">
        <v>45051</v>
      </c>
      <c r="I230" s="26">
        <v>45198</v>
      </c>
      <c r="J230" s="27">
        <v>560</v>
      </c>
      <c r="K230" s="27">
        <v>6988.8</v>
      </c>
      <c r="L230" s="27">
        <v>7599.22</v>
      </c>
      <c r="M230" s="25" t="s">
        <v>484</v>
      </c>
      <c r="N230" s="25" t="s">
        <v>477</v>
      </c>
      <c r="O230" s="25" t="s">
        <v>475</v>
      </c>
      <c r="P230" s="28">
        <v>19</v>
      </c>
      <c r="Q230" s="23"/>
      <c r="R230" s="23"/>
      <c r="S230" s="23"/>
      <c r="T230" s="23"/>
      <c r="U230" s="23"/>
      <c r="V230" s="23"/>
    </row>
    <row r="231" spans="1:22" x14ac:dyDescent="0.3">
      <c r="A231" s="23"/>
      <c r="B231" s="24" t="s">
        <v>218</v>
      </c>
      <c r="C231" s="25" t="s">
        <v>493</v>
      </c>
      <c r="D231" s="25" t="s">
        <v>535</v>
      </c>
      <c r="E231" s="25" t="s">
        <v>492</v>
      </c>
      <c r="F231" s="25" t="s">
        <v>487</v>
      </c>
      <c r="G231" s="26">
        <v>45368</v>
      </c>
      <c r="H231" s="26">
        <v>45064</v>
      </c>
      <c r="I231" s="26">
        <v>45170</v>
      </c>
      <c r="J231" s="27">
        <v>279</v>
      </c>
      <c r="K231" s="27">
        <v>36044.01</v>
      </c>
      <c r="L231" s="27">
        <v>9682.36</v>
      </c>
      <c r="M231" s="25" t="s">
        <v>481</v>
      </c>
      <c r="N231" s="25" t="s">
        <v>477</v>
      </c>
      <c r="O231" s="25" t="s">
        <v>474</v>
      </c>
      <c r="P231" s="28">
        <v>24</v>
      </c>
      <c r="Q231" s="23"/>
      <c r="R231" s="23"/>
      <c r="S231" s="23"/>
      <c r="T231" s="23"/>
      <c r="U231" s="23"/>
      <c r="V231" s="23"/>
    </row>
    <row r="232" spans="1:22" x14ac:dyDescent="0.3">
      <c r="A232" s="23"/>
      <c r="B232" s="24" t="s">
        <v>219</v>
      </c>
      <c r="C232" s="25" t="s">
        <v>495</v>
      </c>
      <c r="D232" s="25" t="s">
        <v>535</v>
      </c>
      <c r="E232" s="25" t="s">
        <v>490</v>
      </c>
      <c r="F232" s="25" t="s">
        <v>487</v>
      </c>
      <c r="G232" s="26">
        <v>45474</v>
      </c>
      <c r="H232" s="26">
        <v>45529</v>
      </c>
      <c r="I232" s="26">
        <v>45231</v>
      </c>
      <c r="J232" s="27">
        <v>192</v>
      </c>
      <c r="K232" s="27">
        <v>65208.959999999999</v>
      </c>
      <c r="L232" s="27">
        <v>2144.54</v>
      </c>
      <c r="M232" s="25" t="s">
        <v>481</v>
      </c>
      <c r="N232" s="25" t="s">
        <v>477</v>
      </c>
      <c r="O232" s="25" t="s">
        <v>476</v>
      </c>
      <c r="P232" s="28">
        <v>27</v>
      </c>
      <c r="Q232" s="23"/>
      <c r="R232" s="23"/>
      <c r="S232" s="23"/>
      <c r="T232" s="23"/>
      <c r="U232" s="23"/>
      <c r="V232" s="23"/>
    </row>
    <row r="233" spans="1:22" x14ac:dyDescent="0.3">
      <c r="A233" s="23"/>
      <c r="B233" s="24" t="s">
        <v>220</v>
      </c>
      <c r="C233" s="25" t="s">
        <v>495</v>
      </c>
      <c r="D233" s="25" t="s">
        <v>536</v>
      </c>
      <c r="E233" s="25" t="s">
        <v>490</v>
      </c>
      <c r="F233" s="25" t="s">
        <v>486</v>
      </c>
      <c r="G233" s="26">
        <v>45379</v>
      </c>
      <c r="H233" s="26">
        <v>45327</v>
      </c>
      <c r="I233" s="26">
        <v>45532</v>
      </c>
      <c r="J233" s="27">
        <v>284</v>
      </c>
      <c r="K233" s="27">
        <v>100757.51999999999</v>
      </c>
      <c r="L233" s="27">
        <v>7387.39</v>
      </c>
      <c r="M233" s="25" t="s">
        <v>482</v>
      </c>
      <c r="N233" s="25" t="s">
        <v>480</v>
      </c>
      <c r="O233" s="25" t="s">
        <v>475</v>
      </c>
      <c r="P233" s="28">
        <v>11</v>
      </c>
      <c r="Q233" s="23"/>
      <c r="R233" s="23"/>
      <c r="S233" s="23"/>
      <c r="T233" s="23"/>
      <c r="U233" s="23"/>
      <c r="V233" s="23"/>
    </row>
    <row r="234" spans="1:22" x14ac:dyDescent="0.3">
      <c r="A234" s="23"/>
      <c r="B234" s="24" t="s">
        <v>221</v>
      </c>
      <c r="C234" s="25" t="s">
        <v>494</v>
      </c>
      <c r="D234" s="25" t="s">
        <v>535</v>
      </c>
      <c r="E234" s="25" t="s">
        <v>491</v>
      </c>
      <c r="F234" s="25" t="s">
        <v>488</v>
      </c>
      <c r="G234" s="26">
        <v>45403</v>
      </c>
      <c r="H234" s="26">
        <v>45432</v>
      </c>
      <c r="I234" s="26">
        <v>45033</v>
      </c>
      <c r="J234" s="27">
        <v>252</v>
      </c>
      <c r="K234" s="27">
        <v>77351.399999999994</v>
      </c>
      <c r="L234" s="27">
        <v>835.45</v>
      </c>
      <c r="M234" s="25" t="s">
        <v>482</v>
      </c>
      <c r="N234" s="25" t="s">
        <v>478</v>
      </c>
      <c r="O234" s="25" t="s">
        <v>475</v>
      </c>
      <c r="P234" s="28">
        <v>1</v>
      </c>
      <c r="Q234" s="23"/>
      <c r="R234" s="23"/>
      <c r="S234" s="23"/>
      <c r="T234" s="23"/>
      <c r="U234" s="23"/>
      <c r="V234" s="23"/>
    </row>
    <row r="235" spans="1:22" x14ac:dyDescent="0.3">
      <c r="A235" s="23"/>
      <c r="B235" s="24" t="s">
        <v>222</v>
      </c>
      <c r="C235" s="25" t="s">
        <v>493</v>
      </c>
      <c r="D235" s="25" t="s">
        <v>534</v>
      </c>
      <c r="E235" s="25" t="s">
        <v>491</v>
      </c>
      <c r="F235" s="25" t="s">
        <v>488</v>
      </c>
      <c r="G235" s="26">
        <v>45213</v>
      </c>
      <c r="H235" s="26">
        <v>45427</v>
      </c>
      <c r="I235" s="26">
        <v>45180</v>
      </c>
      <c r="J235" s="27">
        <v>626</v>
      </c>
      <c r="K235" s="27">
        <v>100091.13999999998</v>
      </c>
      <c r="L235" s="27">
        <v>1340.31</v>
      </c>
      <c r="M235" s="25" t="s">
        <v>482</v>
      </c>
      <c r="N235" s="25" t="s">
        <v>478</v>
      </c>
      <c r="O235" s="25" t="s">
        <v>476</v>
      </c>
      <c r="P235" s="28">
        <v>10</v>
      </c>
      <c r="Q235" s="23"/>
      <c r="R235" s="23"/>
      <c r="S235" s="23"/>
      <c r="T235" s="23"/>
      <c r="U235" s="23"/>
      <c r="V235" s="23"/>
    </row>
    <row r="236" spans="1:22" x14ac:dyDescent="0.3">
      <c r="A236" s="23"/>
      <c r="B236" s="24" t="s">
        <v>223</v>
      </c>
      <c r="C236" s="25" t="s">
        <v>495</v>
      </c>
      <c r="D236" s="25" t="s">
        <v>534</v>
      </c>
      <c r="E236" s="25" t="s">
        <v>490</v>
      </c>
      <c r="F236" s="25" t="s">
        <v>487</v>
      </c>
      <c r="G236" s="26">
        <v>45229</v>
      </c>
      <c r="H236" s="26">
        <v>45500</v>
      </c>
      <c r="I236" s="26">
        <v>45383</v>
      </c>
      <c r="J236" s="27">
        <v>169</v>
      </c>
      <c r="K236" s="27">
        <v>23523.11</v>
      </c>
      <c r="L236" s="27">
        <v>6603.68</v>
      </c>
      <c r="M236" s="25" t="s">
        <v>483</v>
      </c>
      <c r="N236" s="25" t="s">
        <v>477</v>
      </c>
      <c r="O236" s="25" t="s">
        <v>476</v>
      </c>
      <c r="P236" s="28">
        <v>13</v>
      </c>
      <c r="Q236" s="23"/>
      <c r="R236" s="23"/>
      <c r="S236" s="23"/>
      <c r="T236" s="23"/>
      <c r="U236" s="23"/>
      <c r="V236" s="23"/>
    </row>
    <row r="237" spans="1:22" x14ac:dyDescent="0.3">
      <c r="A237" s="23"/>
      <c r="B237" s="24" t="s">
        <v>224</v>
      </c>
      <c r="C237" s="25" t="s">
        <v>495</v>
      </c>
      <c r="D237" s="25" t="s">
        <v>536</v>
      </c>
      <c r="E237" s="25" t="s">
        <v>490</v>
      </c>
      <c r="F237" s="25" t="s">
        <v>486</v>
      </c>
      <c r="G237" s="26">
        <v>45237</v>
      </c>
      <c r="H237" s="26">
        <v>45065</v>
      </c>
      <c r="I237" s="26">
        <v>45450</v>
      </c>
      <c r="J237" s="27">
        <v>373</v>
      </c>
      <c r="K237" s="27">
        <v>112217.05</v>
      </c>
      <c r="L237" s="27">
        <v>2852.08</v>
      </c>
      <c r="M237" s="25" t="s">
        <v>482</v>
      </c>
      <c r="N237" s="25" t="s">
        <v>477</v>
      </c>
      <c r="O237" s="25" t="s">
        <v>476</v>
      </c>
      <c r="P237" s="28">
        <v>21</v>
      </c>
      <c r="Q237" s="23"/>
      <c r="R237" s="23"/>
      <c r="S237" s="23"/>
      <c r="T237" s="23"/>
      <c r="U237" s="23"/>
      <c r="V237" s="23"/>
    </row>
    <row r="238" spans="1:22" x14ac:dyDescent="0.3">
      <c r="A238" s="23"/>
      <c r="B238" s="24" t="s">
        <v>225</v>
      </c>
      <c r="C238" s="25" t="s">
        <v>494</v>
      </c>
      <c r="D238" s="25" t="s">
        <v>534</v>
      </c>
      <c r="E238" s="25" t="s">
        <v>490</v>
      </c>
      <c r="F238" s="25" t="s">
        <v>486</v>
      </c>
      <c r="G238" s="26">
        <v>45544</v>
      </c>
      <c r="H238" s="26">
        <v>45546</v>
      </c>
      <c r="I238" s="26">
        <v>45104</v>
      </c>
      <c r="J238" s="27">
        <v>483</v>
      </c>
      <c r="K238" s="27">
        <v>228763.29</v>
      </c>
      <c r="L238" s="27">
        <v>4097.71</v>
      </c>
      <c r="M238" s="25" t="s">
        <v>482</v>
      </c>
      <c r="N238" s="25" t="s">
        <v>480</v>
      </c>
      <c r="O238" s="25" t="s">
        <v>474</v>
      </c>
      <c r="P238" s="28">
        <v>22</v>
      </c>
      <c r="Q238" s="23"/>
      <c r="R238" s="23"/>
      <c r="S238" s="23"/>
      <c r="T238" s="23"/>
      <c r="U238" s="23"/>
      <c r="V238" s="23"/>
    </row>
    <row r="239" spans="1:22" x14ac:dyDescent="0.3">
      <c r="A239" s="23"/>
      <c r="B239" s="24" t="s">
        <v>226</v>
      </c>
      <c r="C239" s="25" t="s">
        <v>494</v>
      </c>
      <c r="D239" s="25" t="s">
        <v>534</v>
      </c>
      <c r="E239" s="25" t="s">
        <v>491</v>
      </c>
      <c r="F239" s="25" t="s">
        <v>486</v>
      </c>
      <c r="G239" s="26">
        <v>45372</v>
      </c>
      <c r="H239" s="26">
        <v>45552</v>
      </c>
      <c r="I239" s="26">
        <v>45273</v>
      </c>
      <c r="J239" s="27">
        <v>252</v>
      </c>
      <c r="K239" s="27">
        <v>14469.84</v>
      </c>
      <c r="L239" s="27">
        <v>6170.53</v>
      </c>
      <c r="M239" s="25" t="s">
        <v>484</v>
      </c>
      <c r="N239" s="25" t="s">
        <v>478</v>
      </c>
      <c r="O239" s="25" t="s">
        <v>476</v>
      </c>
      <c r="P239" s="28">
        <v>15</v>
      </c>
      <c r="Q239" s="23"/>
      <c r="R239" s="23"/>
      <c r="S239" s="23"/>
      <c r="T239" s="23"/>
      <c r="U239" s="23"/>
      <c r="V239" s="23"/>
    </row>
    <row r="240" spans="1:22" x14ac:dyDescent="0.3">
      <c r="A240" s="23"/>
      <c r="B240" s="24" t="s">
        <v>227</v>
      </c>
      <c r="C240" s="25" t="s">
        <v>493</v>
      </c>
      <c r="D240" s="25" t="s">
        <v>535</v>
      </c>
      <c r="E240" s="25" t="s">
        <v>491</v>
      </c>
      <c r="F240" s="25" t="s">
        <v>486</v>
      </c>
      <c r="G240" s="26">
        <v>45596</v>
      </c>
      <c r="H240" s="26">
        <v>45181</v>
      </c>
      <c r="I240" s="26">
        <v>45600</v>
      </c>
      <c r="J240" s="27">
        <v>478</v>
      </c>
      <c r="K240" s="27">
        <v>39023.919999999998</v>
      </c>
      <c r="L240" s="27">
        <v>7165.25</v>
      </c>
      <c r="M240" s="25" t="s">
        <v>483</v>
      </c>
      <c r="N240" s="25" t="s">
        <v>477</v>
      </c>
      <c r="O240" s="25" t="s">
        <v>475</v>
      </c>
      <c r="P240" s="28">
        <v>19</v>
      </c>
      <c r="Q240" s="23"/>
      <c r="R240" s="23"/>
      <c r="S240" s="23"/>
      <c r="T240" s="23"/>
      <c r="U240" s="23"/>
      <c r="V240" s="23"/>
    </row>
    <row r="241" spans="1:22" x14ac:dyDescent="0.3">
      <c r="A241" s="23"/>
      <c r="B241" s="24" t="s">
        <v>228</v>
      </c>
      <c r="C241" s="25" t="s">
        <v>494</v>
      </c>
      <c r="D241" s="25" t="s">
        <v>535</v>
      </c>
      <c r="E241" s="25" t="s">
        <v>491</v>
      </c>
      <c r="F241" s="25" t="s">
        <v>486</v>
      </c>
      <c r="G241" s="26">
        <v>45559</v>
      </c>
      <c r="H241" s="26">
        <v>45557</v>
      </c>
      <c r="I241" s="26">
        <v>45361</v>
      </c>
      <c r="J241" s="27">
        <v>254</v>
      </c>
      <c r="K241" s="27">
        <v>120050.56</v>
      </c>
      <c r="L241" s="27">
        <v>2534.21</v>
      </c>
      <c r="M241" s="25" t="s">
        <v>482</v>
      </c>
      <c r="N241" s="25" t="s">
        <v>480</v>
      </c>
      <c r="O241" s="25" t="s">
        <v>475</v>
      </c>
      <c r="P241" s="28">
        <v>28</v>
      </c>
      <c r="Q241" s="23"/>
      <c r="R241" s="23"/>
      <c r="S241" s="23"/>
      <c r="T241" s="23"/>
      <c r="U241" s="23"/>
      <c r="V241" s="23"/>
    </row>
    <row r="242" spans="1:22" x14ac:dyDescent="0.3">
      <c r="A242" s="23"/>
      <c r="B242" s="24" t="s">
        <v>229</v>
      </c>
      <c r="C242" s="25" t="s">
        <v>493</v>
      </c>
      <c r="D242" s="25" t="s">
        <v>535</v>
      </c>
      <c r="E242" s="25" t="s">
        <v>491</v>
      </c>
      <c r="F242" s="25" t="s">
        <v>486</v>
      </c>
      <c r="G242" s="26">
        <v>44981</v>
      </c>
      <c r="H242" s="26">
        <v>45637</v>
      </c>
      <c r="I242" s="26">
        <v>45657</v>
      </c>
      <c r="J242" s="27">
        <v>392</v>
      </c>
      <c r="K242" s="27">
        <v>144875.35999999999</v>
      </c>
      <c r="L242" s="27">
        <v>5968.73</v>
      </c>
      <c r="M242" s="25" t="s">
        <v>481</v>
      </c>
      <c r="N242" s="25" t="s">
        <v>480</v>
      </c>
      <c r="O242" s="25" t="s">
        <v>475</v>
      </c>
      <c r="P242" s="28">
        <v>5</v>
      </c>
      <c r="Q242" s="23"/>
      <c r="R242" s="23"/>
      <c r="S242" s="23"/>
      <c r="T242" s="23"/>
      <c r="U242" s="23"/>
      <c r="V242" s="23"/>
    </row>
    <row r="243" spans="1:22" x14ac:dyDescent="0.3">
      <c r="A243" s="23"/>
      <c r="B243" s="24" t="s">
        <v>230</v>
      </c>
      <c r="C243" s="25" t="s">
        <v>496</v>
      </c>
      <c r="D243" s="25" t="s">
        <v>536</v>
      </c>
      <c r="E243" s="25" t="s">
        <v>491</v>
      </c>
      <c r="F243" s="25" t="s">
        <v>486</v>
      </c>
      <c r="G243" s="26">
        <v>44938</v>
      </c>
      <c r="H243" s="26">
        <v>45490</v>
      </c>
      <c r="I243" s="26">
        <v>45619</v>
      </c>
      <c r="J243" s="27">
        <v>235</v>
      </c>
      <c r="K243" s="27">
        <v>103888.8</v>
      </c>
      <c r="L243" s="27">
        <v>3715.05</v>
      </c>
      <c r="M243" s="25" t="s">
        <v>483</v>
      </c>
      <c r="N243" s="25" t="s">
        <v>480</v>
      </c>
      <c r="O243" s="25" t="s">
        <v>475</v>
      </c>
      <c r="P243" s="28">
        <v>22</v>
      </c>
      <c r="Q243" s="23"/>
      <c r="R243" s="23"/>
      <c r="S243" s="23"/>
      <c r="T243" s="23"/>
      <c r="U243" s="23"/>
      <c r="V243" s="23"/>
    </row>
    <row r="244" spans="1:22" x14ac:dyDescent="0.3">
      <c r="A244" s="23"/>
      <c r="B244" s="24" t="s">
        <v>231</v>
      </c>
      <c r="C244" s="25" t="s">
        <v>493</v>
      </c>
      <c r="D244" s="25" t="s">
        <v>535</v>
      </c>
      <c r="E244" s="25" t="s">
        <v>491</v>
      </c>
      <c r="F244" s="25" t="s">
        <v>486</v>
      </c>
      <c r="G244" s="26">
        <v>45583</v>
      </c>
      <c r="H244" s="26">
        <v>45353</v>
      </c>
      <c r="I244" s="26">
        <v>45617</v>
      </c>
      <c r="J244" s="27">
        <v>291</v>
      </c>
      <c r="K244" s="27">
        <v>30642.3</v>
      </c>
      <c r="L244" s="27">
        <v>5130.28</v>
      </c>
      <c r="M244" s="25" t="s">
        <v>481</v>
      </c>
      <c r="N244" s="25" t="s">
        <v>477</v>
      </c>
      <c r="O244" s="25" t="s">
        <v>475</v>
      </c>
      <c r="P244" s="28">
        <v>3</v>
      </c>
      <c r="Q244" s="23"/>
      <c r="R244" s="23"/>
      <c r="S244" s="23"/>
      <c r="T244" s="23"/>
      <c r="U244" s="23"/>
      <c r="V244" s="23"/>
    </row>
    <row r="245" spans="1:22" x14ac:dyDescent="0.3">
      <c r="A245" s="23"/>
      <c r="B245" s="24" t="s">
        <v>232</v>
      </c>
      <c r="C245" s="25" t="s">
        <v>493</v>
      </c>
      <c r="D245" s="25" t="s">
        <v>534</v>
      </c>
      <c r="E245" s="25" t="s">
        <v>492</v>
      </c>
      <c r="F245" s="25" t="s">
        <v>487</v>
      </c>
      <c r="G245" s="26">
        <v>45326</v>
      </c>
      <c r="H245" s="26">
        <v>45474</v>
      </c>
      <c r="I245" s="26">
        <v>45588</v>
      </c>
      <c r="J245" s="27">
        <v>49</v>
      </c>
      <c r="K245" s="27">
        <v>14497.140000000001</v>
      </c>
      <c r="L245" s="27">
        <v>3753.12</v>
      </c>
      <c r="M245" s="25" t="s">
        <v>484</v>
      </c>
      <c r="N245" s="25" t="s">
        <v>477</v>
      </c>
      <c r="O245" s="25" t="s">
        <v>476</v>
      </c>
      <c r="P245" s="28">
        <v>14</v>
      </c>
      <c r="Q245" s="23"/>
      <c r="R245" s="23"/>
      <c r="S245" s="23"/>
      <c r="T245" s="23"/>
      <c r="U245" s="23"/>
      <c r="V245" s="23"/>
    </row>
    <row r="246" spans="1:22" x14ac:dyDescent="0.3">
      <c r="A246" s="23"/>
      <c r="B246" s="24" t="s">
        <v>233</v>
      </c>
      <c r="C246" s="25" t="s">
        <v>494</v>
      </c>
      <c r="D246" s="25" t="s">
        <v>535</v>
      </c>
      <c r="E246" s="25" t="s">
        <v>491</v>
      </c>
      <c r="F246" s="25" t="s">
        <v>488</v>
      </c>
      <c r="G246" s="26">
        <v>45574</v>
      </c>
      <c r="H246" s="26">
        <v>45229</v>
      </c>
      <c r="I246" s="26">
        <v>45254</v>
      </c>
      <c r="J246" s="27">
        <v>71</v>
      </c>
      <c r="K246" s="27">
        <v>24996.26</v>
      </c>
      <c r="L246" s="27">
        <v>6688.76</v>
      </c>
      <c r="M246" s="25" t="s">
        <v>484</v>
      </c>
      <c r="N246" s="25" t="s">
        <v>477</v>
      </c>
      <c r="O246" s="25" t="s">
        <v>476</v>
      </c>
      <c r="P246" s="28">
        <v>23</v>
      </c>
      <c r="Q246" s="23"/>
      <c r="R246" s="23"/>
      <c r="S246" s="23"/>
      <c r="T246" s="23"/>
      <c r="U246" s="23"/>
      <c r="V246" s="23"/>
    </row>
    <row r="247" spans="1:22" x14ac:dyDescent="0.3">
      <c r="A247" s="23"/>
      <c r="B247" s="24" t="s">
        <v>234</v>
      </c>
      <c r="C247" s="25" t="s">
        <v>494</v>
      </c>
      <c r="D247" s="25" t="s">
        <v>535</v>
      </c>
      <c r="E247" s="25" t="s">
        <v>491</v>
      </c>
      <c r="F247" s="25" t="s">
        <v>488</v>
      </c>
      <c r="G247" s="26">
        <v>45441</v>
      </c>
      <c r="H247" s="26">
        <v>45508</v>
      </c>
      <c r="I247" s="26">
        <v>45603</v>
      </c>
      <c r="J247" s="27">
        <v>233</v>
      </c>
      <c r="K247" s="27">
        <v>79606.78</v>
      </c>
      <c r="L247" s="27">
        <v>8628.92</v>
      </c>
      <c r="M247" s="25" t="s">
        <v>484</v>
      </c>
      <c r="N247" s="25" t="s">
        <v>479</v>
      </c>
      <c r="O247" s="25" t="s">
        <v>475</v>
      </c>
      <c r="P247" s="28">
        <v>24</v>
      </c>
      <c r="Q247" s="23"/>
      <c r="R247" s="23"/>
      <c r="S247" s="23"/>
      <c r="T247" s="23"/>
      <c r="U247" s="23"/>
      <c r="V247" s="23"/>
    </row>
    <row r="248" spans="1:22" x14ac:dyDescent="0.3">
      <c r="A248" s="23"/>
      <c r="B248" s="24" t="s">
        <v>235</v>
      </c>
      <c r="C248" s="25" t="s">
        <v>495</v>
      </c>
      <c r="D248" s="25" t="s">
        <v>535</v>
      </c>
      <c r="E248" s="25" t="s">
        <v>491</v>
      </c>
      <c r="F248" s="25" t="s">
        <v>488</v>
      </c>
      <c r="G248" s="26">
        <v>45582</v>
      </c>
      <c r="H248" s="26">
        <v>45276</v>
      </c>
      <c r="I248" s="26">
        <v>45569</v>
      </c>
      <c r="J248" s="27">
        <v>668</v>
      </c>
      <c r="K248" s="27">
        <v>138302.72</v>
      </c>
      <c r="L248" s="27">
        <v>4765.5200000000004</v>
      </c>
      <c r="M248" s="25" t="s">
        <v>484</v>
      </c>
      <c r="N248" s="25" t="s">
        <v>480</v>
      </c>
      <c r="O248" s="25" t="s">
        <v>475</v>
      </c>
      <c r="P248" s="28">
        <v>0</v>
      </c>
      <c r="Q248" s="23"/>
      <c r="R248" s="23"/>
      <c r="S248" s="23"/>
      <c r="T248" s="23"/>
      <c r="U248" s="23"/>
      <c r="V248" s="23"/>
    </row>
    <row r="249" spans="1:22" x14ac:dyDescent="0.3">
      <c r="A249" s="23"/>
      <c r="B249" s="24" t="s">
        <v>236</v>
      </c>
      <c r="C249" s="25" t="s">
        <v>495</v>
      </c>
      <c r="D249" s="25" t="s">
        <v>535</v>
      </c>
      <c r="E249" s="25" t="s">
        <v>490</v>
      </c>
      <c r="F249" s="25" t="s">
        <v>488</v>
      </c>
      <c r="G249" s="26">
        <v>45468</v>
      </c>
      <c r="H249" s="26">
        <v>44976</v>
      </c>
      <c r="I249" s="26">
        <v>45350</v>
      </c>
      <c r="J249" s="27">
        <v>615</v>
      </c>
      <c r="K249" s="27">
        <v>7761.2999999999993</v>
      </c>
      <c r="L249" s="27">
        <v>575.01</v>
      </c>
      <c r="M249" s="25" t="s">
        <v>482</v>
      </c>
      <c r="N249" s="25" t="s">
        <v>477</v>
      </c>
      <c r="O249" s="25" t="s">
        <v>476</v>
      </c>
      <c r="P249" s="28">
        <v>6</v>
      </c>
      <c r="Q249" s="23"/>
      <c r="R249" s="23"/>
      <c r="S249" s="23"/>
      <c r="T249" s="23"/>
      <c r="U249" s="23"/>
      <c r="V249" s="23"/>
    </row>
    <row r="250" spans="1:22" x14ac:dyDescent="0.3">
      <c r="A250" s="23"/>
      <c r="B250" s="24" t="s">
        <v>237</v>
      </c>
      <c r="C250" s="25" t="s">
        <v>496</v>
      </c>
      <c r="D250" s="25" t="s">
        <v>535</v>
      </c>
      <c r="E250" s="25" t="s">
        <v>490</v>
      </c>
      <c r="F250" s="25" t="s">
        <v>488</v>
      </c>
      <c r="G250" s="26">
        <v>45163</v>
      </c>
      <c r="H250" s="26">
        <v>45001</v>
      </c>
      <c r="I250" s="26">
        <v>45524</v>
      </c>
      <c r="J250" s="27">
        <v>74</v>
      </c>
      <c r="K250" s="27">
        <v>21722.7</v>
      </c>
      <c r="L250" s="27">
        <v>575.01</v>
      </c>
      <c r="M250" s="25" t="s">
        <v>483</v>
      </c>
      <c r="N250" s="25" t="s">
        <v>477</v>
      </c>
      <c r="O250" s="25" t="s">
        <v>475</v>
      </c>
      <c r="P250" s="28">
        <v>24</v>
      </c>
      <c r="Q250" s="23"/>
      <c r="R250" s="23"/>
      <c r="S250" s="23"/>
      <c r="T250" s="23"/>
      <c r="U250" s="23"/>
      <c r="V250" s="23"/>
    </row>
    <row r="251" spans="1:22" x14ac:dyDescent="0.3">
      <c r="A251" s="23"/>
      <c r="B251" s="24" t="s">
        <v>238</v>
      </c>
      <c r="C251" s="25" t="s">
        <v>493</v>
      </c>
      <c r="D251" s="25" t="s">
        <v>534</v>
      </c>
      <c r="E251" s="25" t="s">
        <v>490</v>
      </c>
      <c r="F251" s="25" t="s">
        <v>488</v>
      </c>
      <c r="G251" s="26">
        <v>45274</v>
      </c>
      <c r="H251" s="26">
        <v>45188</v>
      </c>
      <c r="I251" s="26">
        <v>45589</v>
      </c>
      <c r="J251" s="27">
        <v>301</v>
      </c>
      <c r="K251" s="27">
        <v>68591.88</v>
      </c>
      <c r="L251" s="27">
        <v>7259.75</v>
      </c>
      <c r="M251" s="25" t="s">
        <v>484</v>
      </c>
      <c r="N251" s="25" t="s">
        <v>478</v>
      </c>
      <c r="O251" s="25" t="s">
        <v>474</v>
      </c>
      <c r="P251" s="28">
        <v>11</v>
      </c>
      <c r="Q251" s="23"/>
      <c r="R251" s="23"/>
      <c r="S251" s="23"/>
      <c r="T251" s="23"/>
      <c r="U251" s="23"/>
      <c r="V251" s="23"/>
    </row>
    <row r="252" spans="1:22" x14ac:dyDescent="0.3">
      <c r="A252" s="23"/>
      <c r="B252" s="24" t="s">
        <v>239</v>
      </c>
      <c r="C252" s="25" t="s">
        <v>494</v>
      </c>
      <c r="D252" s="25" t="s">
        <v>534</v>
      </c>
      <c r="E252" s="25" t="s">
        <v>490</v>
      </c>
      <c r="F252" s="25" t="s">
        <v>488</v>
      </c>
      <c r="G252" s="26">
        <v>45553</v>
      </c>
      <c r="H252" s="26">
        <v>45283</v>
      </c>
      <c r="I252" s="26">
        <v>45342</v>
      </c>
      <c r="J252" s="27">
        <v>139</v>
      </c>
      <c r="K252" s="27">
        <v>66581</v>
      </c>
      <c r="L252" s="27">
        <v>240.49</v>
      </c>
      <c r="M252" s="25" t="s">
        <v>484</v>
      </c>
      <c r="N252" s="25" t="s">
        <v>478</v>
      </c>
      <c r="O252" s="25" t="s">
        <v>476</v>
      </c>
      <c r="P252" s="28">
        <v>9</v>
      </c>
      <c r="Q252" s="23"/>
      <c r="R252" s="23"/>
      <c r="S252" s="23"/>
      <c r="T252" s="23"/>
      <c r="U252" s="23"/>
      <c r="V252" s="23"/>
    </row>
    <row r="253" spans="1:22" x14ac:dyDescent="0.3">
      <c r="A253" s="23"/>
      <c r="B253" s="24" t="s">
        <v>240</v>
      </c>
      <c r="C253" s="25" t="s">
        <v>495</v>
      </c>
      <c r="D253" s="25" t="s">
        <v>534</v>
      </c>
      <c r="E253" s="25" t="s">
        <v>490</v>
      </c>
      <c r="F253" s="25" t="s">
        <v>488</v>
      </c>
      <c r="G253" s="26">
        <v>45030</v>
      </c>
      <c r="H253" s="26">
        <v>45509</v>
      </c>
      <c r="I253" s="26">
        <v>45014</v>
      </c>
      <c r="J253" s="27">
        <v>354</v>
      </c>
      <c r="K253" s="27">
        <v>71692.08</v>
      </c>
      <c r="L253" s="27">
        <v>1303.72</v>
      </c>
      <c r="M253" s="25" t="s">
        <v>484</v>
      </c>
      <c r="N253" s="25" t="s">
        <v>479</v>
      </c>
      <c r="O253" s="25" t="s">
        <v>476</v>
      </c>
      <c r="P253" s="28">
        <v>4</v>
      </c>
      <c r="Q253" s="23"/>
      <c r="R253" s="23"/>
      <c r="S253" s="23"/>
      <c r="T253" s="23"/>
      <c r="U253" s="23"/>
      <c r="V253" s="23"/>
    </row>
    <row r="254" spans="1:22" x14ac:dyDescent="0.3">
      <c r="A254" s="23"/>
      <c r="B254" s="24" t="s">
        <v>241</v>
      </c>
      <c r="C254" s="25" t="s">
        <v>495</v>
      </c>
      <c r="D254" s="25" t="s">
        <v>534</v>
      </c>
      <c r="E254" s="25" t="s">
        <v>491</v>
      </c>
      <c r="F254" s="25" t="s">
        <v>488</v>
      </c>
      <c r="G254" s="26">
        <v>45556</v>
      </c>
      <c r="H254" s="26">
        <v>45529</v>
      </c>
      <c r="I254" s="26">
        <v>45043</v>
      </c>
      <c r="J254" s="27">
        <v>354</v>
      </c>
      <c r="K254" s="27">
        <v>148927.79999999999</v>
      </c>
      <c r="L254" s="27">
        <v>4366.75</v>
      </c>
      <c r="M254" s="25" t="s">
        <v>481</v>
      </c>
      <c r="N254" s="25" t="s">
        <v>479</v>
      </c>
      <c r="O254" s="25" t="s">
        <v>476</v>
      </c>
      <c r="P254" s="28">
        <v>11</v>
      </c>
      <c r="Q254" s="23"/>
      <c r="R254" s="23"/>
      <c r="S254" s="23"/>
      <c r="T254" s="23"/>
      <c r="U254" s="23"/>
      <c r="V254" s="23"/>
    </row>
    <row r="255" spans="1:22" x14ac:dyDescent="0.3">
      <c r="A255" s="23"/>
      <c r="B255" s="24" t="s">
        <v>241</v>
      </c>
      <c r="C255" s="25" t="s">
        <v>496</v>
      </c>
      <c r="D255" s="25" t="s">
        <v>534</v>
      </c>
      <c r="E255" s="25" t="s">
        <v>490</v>
      </c>
      <c r="F255" s="25" t="s">
        <v>487</v>
      </c>
      <c r="G255" s="26">
        <v>45443</v>
      </c>
      <c r="H255" s="26">
        <v>45187</v>
      </c>
      <c r="I255" s="26">
        <v>45667</v>
      </c>
      <c r="J255" s="27">
        <v>146</v>
      </c>
      <c r="K255" s="27">
        <v>14356.18</v>
      </c>
      <c r="L255" s="27">
        <v>8277.24</v>
      </c>
      <c r="M255" s="25" t="s">
        <v>483</v>
      </c>
      <c r="N255" s="25" t="s">
        <v>479</v>
      </c>
      <c r="O255" s="25" t="s">
        <v>476</v>
      </c>
      <c r="P255" s="28">
        <v>17</v>
      </c>
      <c r="Q255" s="23"/>
      <c r="R255" s="23"/>
      <c r="S255" s="23"/>
      <c r="T255" s="23"/>
      <c r="U255" s="23"/>
      <c r="V255" s="23"/>
    </row>
    <row r="256" spans="1:22" x14ac:dyDescent="0.3">
      <c r="A256" s="23"/>
      <c r="B256" s="24" t="s">
        <v>242</v>
      </c>
      <c r="C256" s="25" t="s">
        <v>495</v>
      </c>
      <c r="D256" s="25" t="s">
        <v>536</v>
      </c>
      <c r="E256" s="25" t="s">
        <v>490</v>
      </c>
      <c r="F256" s="25" t="s">
        <v>486</v>
      </c>
      <c r="G256" s="26">
        <v>45174</v>
      </c>
      <c r="H256" s="26">
        <v>45565</v>
      </c>
      <c r="I256" s="26">
        <v>45262</v>
      </c>
      <c r="J256" s="27">
        <v>461</v>
      </c>
      <c r="K256" s="27">
        <v>155758.07</v>
      </c>
      <c r="L256" s="27">
        <v>8244.34</v>
      </c>
      <c r="M256" s="25" t="s">
        <v>482</v>
      </c>
      <c r="N256" s="25" t="s">
        <v>479</v>
      </c>
      <c r="O256" s="25" t="s">
        <v>475</v>
      </c>
      <c r="P256" s="28">
        <v>9</v>
      </c>
      <c r="Q256" s="23"/>
      <c r="R256" s="23"/>
      <c r="S256" s="23"/>
      <c r="T256" s="23"/>
      <c r="U256" s="23"/>
      <c r="V256" s="23"/>
    </row>
    <row r="257" spans="1:22" x14ac:dyDescent="0.3">
      <c r="A257" s="23"/>
      <c r="B257" s="24" t="s">
        <v>243</v>
      </c>
      <c r="C257" s="25" t="s">
        <v>496</v>
      </c>
      <c r="D257" s="25" t="s">
        <v>536</v>
      </c>
      <c r="E257" s="25" t="s">
        <v>491</v>
      </c>
      <c r="F257" s="25" t="s">
        <v>485</v>
      </c>
      <c r="G257" s="26">
        <v>45290</v>
      </c>
      <c r="H257" s="26">
        <v>45222</v>
      </c>
      <c r="I257" s="26">
        <v>45308</v>
      </c>
      <c r="J257" s="27">
        <v>321</v>
      </c>
      <c r="K257" s="27">
        <v>156847.01999999999</v>
      </c>
      <c r="L257" s="27">
        <v>3453.97</v>
      </c>
      <c r="M257" s="25" t="s">
        <v>482</v>
      </c>
      <c r="N257" s="25" t="s">
        <v>480</v>
      </c>
      <c r="O257" s="25" t="s">
        <v>475</v>
      </c>
      <c r="P257" s="28">
        <v>5</v>
      </c>
      <c r="Q257" s="23"/>
      <c r="R257" s="23"/>
      <c r="S257" s="23"/>
      <c r="T257" s="23"/>
      <c r="U257" s="23"/>
      <c r="V257" s="23"/>
    </row>
    <row r="258" spans="1:22" x14ac:dyDescent="0.3">
      <c r="A258" s="23"/>
      <c r="B258" s="24" t="s">
        <v>244</v>
      </c>
      <c r="C258" s="25" t="s">
        <v>493</v>
      </c>
      <c r="D258" s="25" t="s">
        <v>534</v>
      </c>
      <c r="E258" s="25" t="s">
        <v>491</v>
      </c>
      <c r="F258" s="25" t="s">
        <v>486</v>
      </c>
      <c r="G258" s="26">
        <v>45247</v>
      </c>
      <c r="H258" s="26">
        <v>45568</v>
      </c>
      <c r="I258" s="26">
        <v>45585</v>
      </c>
      <c r="J258" s="27">
        <v>287</v>
      </c>
      <c r="K258" s="27">
        <v>15911.279999999999</v>
      </c>
      <c r="L258" s="27">
        <v>7263.81</v>
      </c>
      <c r="M258" s="25" t="s">
        <v>484</v>
      </c>
      <c r="N258" s="25" t="s">
        <v>480</v>
      </c>
      <c r="O258" s="25" t="s">
        <v>476</v>
      </c>
      <c r="P258" s="28">
        <v>27</v>
      </c>
      <c r="Q258" s="23"/>
      <c r="R258" s="23"/>
      <c r="S258" s="23"/>
      <c r="T258" s="23"/>
      <c r="U258" s="23"/>
      <c r="V258" s="23"/>
    </row>
    <row r="259" spans="1:22" x14ac:dyDescent="0.3">
      <c r="A259" s="23"/>
      <c r="B259" s="24" t="s">
        <v>245</v>
      </c>
      <c r="C259" s="25" t="s">
        <v>494</v>
      </c>
      <c r="D259" s="25" t="s">
        <v>535</v>
      </c>
      <c r="E259" s="25" t="s">
        <v>492</v>
      </c>
      <c r="F259" s="25" t="s">
        <v>485</v>
      </c>
      <c r="G259" s="26">
        <v>45559</v>
      </c>
      <c r="H259" s="26">
        <v>45240</v>
      </c>
      <c r="I259" s="26">
        <v>44971</v>
      </c>
      <c r="J259" s="27">
        <v>102</v>
      </c>
      <c r="K259" s="27">
        <v>930.2399999999999</v>
      </c>
      <c r="L259" s="27">
        <v>7515.14</v>
      </c>
      <c r="M259" s="25" t="s">
        <v>484</v>
      </c>
      <c r="N259" s="25" t="s">
        <v>480</v>
      </c>
      <c r="O259" s="25" t="s">
        <v>475</v>
      </c>
      <c r="P259" s="28">
        <v>11</v>
      </c>
      <c r="Q259" s="23"/>
      <c r="R259" s="23"/>
      <c r="S259" s="23"/>
      <c r="T259" s="23"/>
      <c r="U259" s="23"/>
      <c r="V259" s="23"/>
    </row>
    <row r="260" spans="1:22" x14ac:dyDescent="0.3">
      <c r="A260" s="23"/>
      <c r="B260" s="24" t="s">
        <v>246</v>
      </c>
      <c r="C260" s="25" t="s">
        <v>496</v>
      </c>
      <c r="D260" s="25" t="s">
        <v>535</v>
      </c>
      <c r="E260" s="25" t="s">
        <v>490</v>
      </c>
      <c r="F260" s="25" t="s">
        <v>485</v>
      </c>
      <c r="G260" s="26">
        <v>45212</v>
      </c>
      <c r="H260" s="26">
        <v>45539</v>
      </c>
      <c r="I260" s="26">
        <v>45035</v>
      </c>
      <c r="J260" s="27">
        <v>385</v>
      </c>
      <c r="K260" s="27">
        <v>84553.7</v>
      </c>
      <c r="L260" s="27">
        <v>2534.21</v>
      </c>
      <c r="M260" s="25" t="s">
        <v>484</v>
      </c>
      <c r="N260" s="25" t="s">
        <v>480</v>
      </c>
      <c r="O260" s="25" t="s">
        <v>475</v>
      </c>
      <c r="P260" s="28">
        <v>6</v>
      </c>
      <c r="Q260" s="23"/>
      <c r="R260" s="23"/>
      <c r="S260" s="23"/>
      <c r="T260" s="23"/>
      <c r="U260" s="23"/>
      <c r="V260" s="23"/>
    </row>
    <row r="261" spans="1:22" x14ac:dyDescent="0.3">
      <c r="A261" s="23"/>
      <c r="B261" s="24" t="s">
        <v>247</v>
      </c>
      <c r="C261" s="25" t="s">
        <v>495</v>
      </c>
      <c r="D261" s="25" t="s">
        <v>535</v>
      </c>
      <c r="E261" s="25" t="s">
        <v>492</v>
      </c>
      <c r="F261" s="25" t="s">
        <v>485</v>
      </c>
      <c r="G261" s="26">
        <v>45075</v>
      </c>
      <c r="H261" s="26">
        <v>45109</v>
      </c>
      <c r="I261" s="26">
        <v>45132</v>
      </c>
      <c r="J261" s="27">
        <v>162</v>
      </c>
      <c r="K261" s="27">
        <v>8237.7000000000007</v>
      </c>
      <c r="L261" s="27">
        <v>9988.98</v>
      </c>
      <c r="M261" s="25" t="s">
        <v>484</v>
      </c>
      <c r="N261" s="25" t="s">
        <v>477</v>
      </c>
      <c r="O261" s="25" t="s">
        <v>474</v>
      </c>
      <c r="P261" s="28">
        <v>17</v>
      </c>
      <c r="Q261" s="23"/>
      <c r="R261" s="23"/>
      <c r="S261" s="23"/>
      <c r="T261" s="23"/>
      <c r="U261" s="23"/>
      <c r="V261" s="23"/>
    </row>
    <row r="262" spans="1:22" x14ac:dyDescent="0.3">
      <c r="A262" s="23"/>
      <c r="B262" s="24" t="s">
        <v>248</v>
      </c>
      <c r="C262" s="25" t="s">
        <v>494</v>
      </c>
      <c r="D262" s="25" t="s">
        <v>535</v>
      </c>
      <c r="E262" s="25" t="s">
        <v>491</v>
      </c>
      <c r="F262" s="25" t="s">
        <v>486</v>
      </c>
      <c r="G262" s="26">
        <v>45010</v>
      </c>
      <c r="H262" s="26">
        <v>45613</v>
      </c>
      <c r="I262" s="26">
        <v>45380</v>
      </c>
      <c r="J262" s="27">
        <v>456</v>
      </c>
      <c r="K262" s="27">
        <v>171205.19999999998</v>
      </c>
      <c r="L262" s="27">
        <v>8532.85</v>
      </c>
      <c r="M262" s="25" t="s">
        <v>482</v>
      </c>
      <c r="N262" s="25" t="s">
        <v>477</v>
      </c>
      <c r="O262" s="25" t="s">
        <v>476</v>
      </c>
      <c r="P262" s="28">
        <v>1</v>
      </c>
      <c r="Q262" s="23"/>
      <c r="R262" s="23"/>
      <c r="S262" s="23"/>
      <c r="T262" s="23"/>
      <c r="U262" s="23"/>
      <c r="V262" s="23"/>
    </row>
    <row r="263" spans="1:22" x14ac:dyDescent="0.3">
      <c r="A263" s="23"/>
      <c r="B263" s="24" t="s">
        <v>249</v>
      </c>
      <c r="C263" s="25" t="s">
        <v>494</v>
      </c>
      <c r="D263" s="25" t="s">
        <v>534</v>
      </c>
      <c r="E263" s="25" t="s">
        <v>490</v>
      </c>
      <c r="F263" s="25" t="s">
        <v>486</v>
      </c>
      <c r="G263" s="26">
        <v>45332</v>
      </c>
      <c r="H263" s="26">
        <v>45291</v>
      </c>
      <c r="I263" s="26">
        <v>45196</v>
      </c>
      <c r="J263" s="27">
        <v>404</v>
      </c>
      <c r="K263" s="27">
        <v>184910.8</v>
      </c>
      <c r="L263" s="27">
        <v>9110.5300000000007</v>
      </c>
      <c r="M263" s="25" t="s">
        <v>481</v>
      </c>
      <c r="N263" s="25" t="s">
        <v>480</v>
      </c>
      <c r="O263" s="25" t="s">
        <v>476</v>
      </c>
      <c r="P263" s="28">
        <v>9</v>
      </c>
      <c r="Q263" s="23"/>
      <c r="R263" s="23"/>
      <c r="S263" s="23"/>
      <c r="T263" s="23"/>
      <c r="U263" s="23"/>
      <c r="V263" s="23"/>
    </row>
    <row r="264" spans="1:22" x14ac:dyDescent="0.3">
      <c r="A264" s="23"/>
      <c r="B264" s="24" t="s">
        <v>250</v>
      </c>
      <c r="C264" s="25" t="s">
        <v>495</v>
      </c>
      <c r="D264" s="25" t="s">
        <v>534</v>
      </c>
      <c r="E264" s="25" t="s">
        <v>490</v>
      </c>
      <c r="F264" s="25" t="s">
        <v>486</v>
      </c>
      <c r="G264" s="26">
        <v>45382</v>
      </c>
      <c r="H264" s="26">
        <v>45115</v>
      </c>
      <c r="I264" s="26">
        <v>45140</v>
      </c>
      <c r="J264" s="27">
        <v>280</v>
      </c>
      <c r="K264" s="27">
        <v>61555.200000000004</v>
      </c>
      <c r="L264" s="27">
        <v>9901.58</v>
      </c>
      <c r="M264" s="25" t="s">
        <v>481</v>
      </c>
      <c r="N264" s="25" t="s">
        <v>480</v>
      </c>
      <c r="O264" s="25" t="s">
        <v>476</v>
      </c>
      <c r="P264" s="28">
        <v>14</v>
      </c>
      <c r="Q264" s="23"/>
      <c r="R264" s="23"/>
      <c r="S264" s="23"/>
      <c r="T264" s="23"/>
      <c r="U264" s="23"/>
      <c r="V264" s="23"/>
    </row>
    <row r="265" spans="1:22" x14ac:dyDescent="0.3">
      <c r="A265" s="23"/>
      <c r="B265" s="24" t="s">
        <v>251</v>
      </c>
      <c r="C265" s="25" t="s">
        <v>496</v>
      </c>
      <c r="D265" s="25" t="s">
        <v>534</v>
      </c>
      <c r="E265" s="25" t="s">
        <v>490</v>
      </c>
      <c r="F265" s="25" t="s">
        <v>486</v>
      </c>
      <c r="G265" s="26">
        <v>45087</v>
      </c>
      <c r="H265" s="26">
        <v>45496</v>
      </c>
      <c r="I265" s="26">
        <v>45493</v>
      </c>
      <c r="J265" s="27">
        <v>302</v>
      </c>
      <c r="K265" s="27">
        <v>40184.120000000003</v>
      </c>
      <c r="L265" s="27">
        <v>6159</v>
      </c>
      <c r="M265" s="25" t="s">
        <v>483</v>
      </c>
      <c r="N265" s="25" t="s">
        <v>478</v>
      </c>
      <c r="O265" s="25" t="s">
        <v>475</v>
      </c>
      <c r="P265" s="28">
        <v>29</v>
      </c>
      <c r="Q265" s="23"/>
      <c r="R265" s="23"/>
      <c r="S265" s="23"/>
      <c r="T265" s="23"/>
      <c r="U265" s="23"/>
      <c r="V265" s="23"/>
    </row>
    <row r="266" spans="1:22" x14ac:dyDescent="0.3">
      <c r="A266" s="23"/>
      <c r="B266" s="24" t="s">
        <v>252</v>
      </c>
      <c r="C266" s="25" t="s">
        <v>495</v>
      </c>
      <c r="D266" s="25" t="s">
        <v>534</v>
      </c>
      <c r="E266" s="25" t="s">
        <v>490</v>
      </c>
      <c r="F266" s="25" t="s">
        <v>488</v>
      </c>
      <c r="G266" s="26">
        <v>45386</v>
      </c>
      <c r="H266" s="26">
        <v>45470</v>
      </c>
      <c r="I266" s="26">
        <v>45048</v>
      </c>
      <c r="J266" s="27">
        <v>431</v>
      </c>
      <c r="K266" s="27">
        <v>94832.930000000008</v>
      </c>
      <c r="L266" s="27">
        <v>8409.08</v>
      </c>
      <c r="M266" s="25" t="s">
        <v>481</v>
      </c>
      <c r="N266" s="25" t="s">
        <v>480</v>
      </c>
      <c r="O266" s="25" t="s">
        <v>475</v>
      </c>
      <c r="P266" s="28">
        <v>11</v>
      </c>
      <c r="Q266" s="23"/>
      <c r="R266" s="23"/>
      <c r="S266" s="23"/>
      <c r="T266" s="23"/>
      <c r="U266" s="23"/>
      <c r="V266" s="23"/>
    </row>
    <row r="267" spans="1:22" x14ac:dyDescent="0.3">
      <c r="A267" s="23"/>
      <c r="B267" s="24" t="s">
        <v>253</v>
      </c>
      <c r="C267" s="25" t="s">
        <v>495</v>
      </c>
      <c r="D267" s="25" t="s">
        <v>535</v>
      </c>
      <c r="E267" s="25" t="s">
        <v>491</v>
      </c>
      <c r="F267" s="25" t="s">
        <v>487</v>
      </c>
      <c r="G267" s="26">
        <v>45476</v>
      </c>
      <c r="H267" s="26">
        <v>45523</v>
      </c>
      <c r="I267" s="26">
        <v>45643</v>
      </c>
      <c r="J267" s="27">
        <v>99</v>
      </c>
      <c r="K267" s="27">
        <v>35947.89</v>
      </c>
      <c r="L267" s="27">
        <v>5028.58</v>
      </c>
      <c r="M267" s="25" t="s">
        <v>482</v>
      </c>
      <c r="N267" s="25" t="s">
        <v>480</v>
      </c>
      <c r="O267" s="25" t="s">
        <v>475</v>
      </c>
      <c r="P267" s="28">
        <v>25</v>
      </c>
      <c r="Q267" s="23"/>
      <c r="R267" s="23"/>
      <c r="S267" s="23"/>
      <c r="T267" s="23"/>
      <c r="U267" s="23"/>
      <c r="V267" s="23"/>
    </row>
    <row r="268" spans="1:22" x14ac:dyDescent="0.3">
      <c r="A268" s="23"/>
      <c r="B268" s="24" t="s">
        <v>254</v>
      </c>
      <c r="C268" s="25" t="s">
        <v>494</v>
      </c>
      <c r="D268" s="25" t="s">
        <v>535</v>
      </c>
      <c r="E268" s="25" t="s">
        <v>491</v>
      </c>
      <c r="F268" s="25" t="s">
        <v>488</v>
      </c>
      <c r="G268" s="26">
        <v>45426</v>
      </c>
      <c r="H268" s="26">
        <v>45591</v>
      </c>
      <c r="I268" s="26">
        <v>45307</v>
      </c>
      <c r="J268" s="27">
        <v>516</v>
      </c>
      <c r="K268" s="27">
        <v>4891.68</v>
      </c>
      <c r="L268" s="27">
        <v>2998.76</v>
      </c>
      <c r="M268" s="25" t="s">
        <v>484</v>
      </c>
      <c r="N268" s="25" t="s">
        <v>477</v>
      </c>
      <c r="O268" s="25" t="s">
        <v>475</v>
      </c>
      <c r="P268" s="28">
        <v>16</v>
      </c>
      <c r="Q268" s="23"/>
      <c r="R268" s="23"/>
      <c r="S268" s="23"/>
      <c r="T268" s="23"/>
      <c r="U268" s="23"/>
      <c r="V268" s="23"/>
    </row>
    <row r="269" spans="1:22" x14ac:dyDescent="0.3">
      <c r="A269" s="23"/>
      <c r="B269" s="24" t="s">
        <v>255</v>
      </c>
      <c r="C269" s="25" t="s">
        <v>494</v>
      </c>
      <c r="D269" s="25" t="s">
        <v>536</v>
      </c>
      <c r="E269" s="25" t="s">
        <v>490</v>
      </c>
      <c r="F269" s="25" t="s">
        <v>487</v>
      </c>
      <c r="G269" s="26">
        <v>45435</v>
      </c>
      <c r="H269" s="26">
        <v>45475</v>
      </c>
      <c r="I269" s="26">
        <v>45481</v>
      </c>
      <c r="J269" s="27">
        <v>573</v>
      </c>
      <c r="K269" s="27">
        <v>170054.93999999997</v>
      </c>
      <c r="L269" s="27">
        <v>9088.92</v>
      </c>
      <c r="M269" s="25" t="s">
        <v>483</v>
      </c>
      <c r="N269" s="25" t="s">
        <v>477</v>
      </c>
      <c r="O269" s="25" t="s">
        <v>475</v>
      </c>
      <c r="P269" s="28">
        <v>3</v>
      </c>
      <c r="Q269" s="23"/>
      <c r="R269" s="23"/>
      <c r="S269" s="23"/>
      <c r="T269" s="23"/>
      <c r="U269" s="23"/>
      <c r="V269" s="23"/>
    </row>
    <row r="270" spans="1:22" x14ac:dyDescent="0.3">
      <c r="A270" s="23"/>
      <c r="B270" s="24" t="s">
        <v>256</v>
      </c>
      <c r="C270" s="25" t="s">
        <v>494</v>
      </c>
      <c r="D270" s="25" t="s">
        <v>536</v>
      </c>
      <c r="E270" s="25" t="s">
        <v>491</v>
      </c>
      <c r="F270" s="25" t="s">
        <v>487</v>
      </c>
      <c r="G270" s="26">
        <v>45580</v>
      </c>
      <c r="H270" s="26">
        <v>45652</v>
      </c>
      <c r="I270" s="26">
        <v>45470</v>
      </c>
      <c r="J270" s="27">
        <v>231</v>
      </c>
      <c r="K270" s="27">
        <v>71281.98</v>
      </c>
      <c r="L270" s="27">
        <v>7524.21</v>
      </c>
      <c r="M270" s="25" t="s">
        <v>482</v>
      </c>
      <c r="N270" s="25" t="s">
        <v>478</v>
      </c>
      <c r="O270" s="25" t="s">
        <v>476</v>
      </c>
      <c r="P270" s="28">
        <v>6</v>
      </c>
      <c r="Q270" s="23"/>
      <c r="R270" s="23"/>
      <c r="S270" s="23"/>
      <c r="T270" s="23"/>
      <c r="U270" s="23"/>
      <c r="V270" s="23"/>
    </row>
    <row r="271" spans="1:22" x14ac:dyDescent="0.3">
      <c r="A271" s="23"/>
      <c r="B271" s="24" t="s">
        <v>257</v>
      </c>
      <c r="C271" s="25" t="s">
        <v>493</v>
      </c>
      <c r="D271" s="25" t="s">
        <v>536</v>
      </c>
      <c r="E271" s="25" t="s">
        <v>491</v>
      </c>
      <c r="F271" s="25" t="s">
        <v>487</v>
      </c>
      <c r="G271" s="26">
        <v>45407</v>
      </c>
      <c r="H271" s="26">
        <v>45335</v>
      </c>
      <c r="I271" s="26">
        <v>45014</v>
      </c>
      <c r="J271" s="27">
        <v>266</v>
      </c>
      <c r="K271" s="27">
        <v>85295.560000000012</v>
      </c>
      <c r="L271" s="27">
        <v>9700.77</v>
      </c>
      <c r="M271" s="25" t="s">
        <v>482</v>
      </c>
      <c r="N271" s="25" t="s">
        <v>478</v>
      </c>
      <c r="O271" s="25" t="s">
        <v>474</v>
      </c>
      <c r="P271" s="28">
        <v>29</v>
      </c>
      <c r="Q271" s="23"/>
      <c r="R271" s="23"/>
      <c r="S271" s="23"/>
      <c r="T271" s="23"/>
      <c r="U271" s="23"/>
      <c r="V271" s="23"/>
    </row>
    <row r="272" spans="1:22" x14ac:dyDescent="0.3">
      <c r="A272" s="23"/>
      <c r="B272" s="24" t="s">
        <v>258</v>
      </c>
      <c r="C272" s="25" t="s">
        <v>495</v>
      </c>
      <c r="D272" s="25" t="s">
        <v>536</v>
      </c>
      <c r="E272" s="25" t="s">
        <v>490</v>
      </c>
      <c r="F272" s="25" t="s">
        <v>487</v>
      </c>
      <c r="G272" s="26">
        <v>45589</v>
      </c>
      <c r="H272" s="26">
        <v>45545</v>
      </c>
      <c r="I272" s="26">
        <v>45384</v>
      </c>
      <c r="J272" s="27">
        <v>168</v>
      </c>
      <c r="K272" s="27">
        <v>20966.399999999998</v>
      </c>
      <c r="L272" s="27">
        <v>8076.32</v>
      </c>
      <c r="M272" s="25" t="s">
        <v>482</v>
      </c>
      <c r="N272" s="25" t="s">
        <v>478</v>
      </c>
      <c r="O272" s="25" t="s">
        <v>476</v>
      </c>
      <c r="P272" s="28">
        <v>8</v>
      </c>
      <c r="Q272" s="23"/>
      <c r="R272" s="23"/>
      <c r="S272" s="23"/>
      <c r="T272" s="23"/>
      <c r="U272" s="23"/>
      <c r="V272" s="23"/>
    </row>
    <row r="273" spans="1:22" x14ac:dyDescent="0.3">
      <c r="A273" s="23"/>
      <c r="B273" s="24" t="s">
        <v>259</v>
      </c>
      <c r="C273" s="25" t="s">
        <v>493</v>
      </c>
      <c r="D273" s="25" t="s">
        <v>534</v>
      </c>
      <c r="E273" s="25" t="s">
        <v>491</v>
      </c>
      <c r="F273" s="25" t="s">
        <v>485</v>
      </c>
      <c r="G273" s="26">
        <v>45504</v>
      </c>
      <c r="H273" s="26">
        <v>45269</v>
      </c>
      <c r="I273" s="26">
        <v>45559</v>
      </c>
      <c r="J273" s="27">
        <v>576</v>
      </c>
      <c r="K273" s="27">
        <v>28938.240000000002</v>
      </c>
      <c r="L273" s="27">
        <v>2004.37</v>
      </c>
      <c r="M273" s="25" t="s">
        <v>483</v>
      </c>
      <c r="N273" s="25" t="s">
        <v>477</v>
      </c>
      <c r="O273" s="25" t="s">
        <v>474</v>
      </c>
      <c r="P273" s="28">
        <v>18</v>
      </c>
      <c r="Q273" s="23"/>
      <c r="R273" s="23"/>
      <c r="S273" s="23"/>
      <c r="T273" s="23"/>
      <c r="U273" s="23"/>
      <c r="V273" s="23"/>
    </row>
    <row r="274" spans="1:22" x14ac:dyDescent="0.3">
      <c r="A274" s="23"/>
      <c r="B274" s="24" t="s">
        <v>260</v>
      </c>
      <c r="C274" s="25" t="s">
        <v>493</v>
      </c>
      <c r="D274" s="25" t="s">
        <v>534</v>
      </c>
      <c r="E274" s="25" t="s">
        <v>490</v>
      </c>
      <c r="F274" s="25" t="s">
        <v>487</v>
      </c>
      <c r="G274" s="26">
        <v>45287</v>
      </c>
      <c r="H274" s="26">
        <v>45147</v>
      </c>
      <c r="I274" s="26">
        <v>45444</v>
      </c>
      <c r="J274" s="27">
        <v>263</v>
      </c>
      <c r="K274" s="27">
        <v>27257.32</v>
      </c>
      <c r="L274" s="27">
        <v>3886.7</v>
      </c>
      <c r="M274" s="25" t="s">
        <v>481</v>
      </c>
      <c r="N274" s="25" t="s">
        <v>477</v>
      </c>
      <c r="O274" s="25" t="s">
        <v>476</v>
      </c>
      <c r="P274" s="28">
        <v>27</v>
      </c>
      <c r="Q274" s="23"/>
      <c r="R274" s="23"/>
      <c r="S274" s="23"/>
      <c r="T274" s="23"/>
      <c r="U274" s="23"/>
      <c r="V274" s="23"/>
    </row>
    <row r="275" spans="1:22" x14ac:dyDescent="0.3">
      <c r="A275" s="23"/>
      <c r="B275" s="24" t="s">
        <v>261</v>
      </c>
      <c r="C275" s="25" t="s">
        <v>493</v>
      </c>
      <c r="D275" s="25" t="s">
        <v>536</v>
      </c>
      <c r="E275" s="25" t="s">
        <v>492</v>
      </c>
      <c r="F275" s="25" t="s">
        <v>487</v>
      </c>
      <c r="G275" s="26">
        <v>45267</v>
      </c>
      <c r="H275" s="26">
        <v>45090</v>
      </c>
      <c r="I275" s="26">
        <v>45535</v>
      </c>
      <c r="J275" s="27">
        <v>413</v>
      </c>
      <c r="K275" s="27">
        <v>181451.55000000002</v>
      </c>
      <c r="L275" s="27">
        <v>2382.5300000000002</v>
      </c>
      <c r="M275" s="25" t="s">
        <v>481</v>
      </c>
      <c r="N275" s="25" t="s">
        <v>477</v>
      </c>
      <c r="O275" s="25" t="s">
        <v>474</v>
      </c>
      <c r="P275" s="28">
        <v>26</v>
      </c>
      <c r="Q275" s="23"/>
      <c r="R275" s="23"/>
      <c r="S275" s="23"/>
      <c r="T275" s="23"/>
      <c r="U275" s="23"/>
      <c r="V275" s="23"/>
    </row>
    <row r="276" spans="1:22" x14ac:dyDescent="0.3">
      <c r="A276" s="23"/>
      <c r="B276" s="24" t="s">
        <v>262</v>
      </c>
      <c r="C276" s="25" t="s">
        <v>494</v>
      </c>
      <c r="D276" s="25" t="s">
        <v>536</v>
      </c>
      <c r="E276" s="25" t="s">
        <v>490</v>
      </c>
      <c r="F276" s="25" t="s">
        <v>487</v>
      </c>
      <c r="G276" s="26">
        <v>45375</v>
      </c>
      <c r="H276" s="26">
        <v>45147</v>
      </c>
      <c r="I276" s="26">
        <v>45608</v>
      </c>
      <c r="J276" s="27">
        <v>647</v>
      </c>
      <c r="K276" s="27">
        <v>239823.49000000002</v>
      </c>
      <c r="L276" s="27">
        <v>6801.07</v>
      </c>
      <c r="M276" s="25" t="s">
        <v>481</v>
      </c>
      <c r="N276" s="25" t="s">
        <v>480</v>
      </c>
      <c r="O276" s="25" t="s">
        <v>475</v>
      </c>
      <c r="P276" s="28">
        <v>22</v>
      </c>
      <c r="Q276" s="23"/>
      <c r="R276" s="23"/>
      <c r="S276" s="23"/>
      <c r="T276" s="23"/>
      <c r="U276" s="23"/>
      <c r="V276" s="23"/>
    </row>
    <row r="277" spans="1:22" x14ac:dyDescent="0.3">
      <c r="A277" s="23"/>
      <c r="B277" s="24" t="s">
        <v>263</v>
      </c>
      <c r="C277" s="25" t="s">
        <v>495</v>
      </c>
      <c r="D277" s="25" t="s">
        <v>535</v>
      </c>
      <c r="E277" s="25" t="s">
        <v>492</v>
      </c>
      <c r="F277" s="25" t="s">
        <v>488</v>
      </c>
      <c r="G277" s="26">
        <v>45106</v>
      </c>
      <c r="H277" s="26">
        <v>45197</v>
      </c>
      <c r="I277" s="26">
        <v>45317</v>
      </c>
      <c r="J277" s="27">
        <v>583</v>
      </c>
      <c r="K277" s="27">
        <v>6879.4000000000005</v>
      </c>
      <c r="L277" s="27">
        <v>1887.09</v>
      </c>
      <c r="M277" s="25" t="s">
        <v>483</v>
      </c>
      <c r="N277" s="25" t="s">
        <v>480</v>
      </c>
      <c r="O277" s="25" t="s">
        <v>475</v>
      </c>
      <c r="P277" s="28">
        <v>6</v>
      </c>
      <c r="Q277" s="23"/>
      <c r="R277" s="23"/>
      <c r="S277" s="23"/>
      <c r="T277" s="23"/>
      <c r="U277" s="23"/>
      <c r="V277" s="23"/>
    </row>
    <row r="278" spans="1:22" x14ac:dyDescent="0.3">
      <c r="A278" s="23"/>
      <c r="B278" s="24" t="s">
        <v>264</v>
      </c>
      <c r="C278" s="25" t="s">
        <v>495</v>
      </c>
      <c r="D278" s="25" t="s">
        <v>535</v>
      </c>
      <c r="E278" s="25" t="s">
        <v>492</v>
      </c>
      <c r="F278" s="25" t="s">
        <v>488</v>
      </c>
      <c r="G278" s="26">
        <v>45628</v>
      </c>
      <c r="H278" s="26">
        <v>45559</v>
      </c>
      <c r="I278" s="26">
        <v>45280</v>
      </c>
      <c r="J278" s="27">
        <v>169</v>
      </c>
      <c r="K278" s="27">
        <v>21623.55</v>
      </c>
      <c r="L278" s="27">
        <v>6685.13</v>
      </c>
      <c r="M278" s="25" t="s">
        <v>483</v>
      </c>
      <c r="N278" s="25" t="s">
        <v>477</v>
      </c>
      <c r="O278" s="25" t="s">
        <v>476</v>
      </c>
      <c r="P278" s="28">
        <v>22</v>
      </c>
      <c r="Q278" s="23"/>
      <c r="R278" s="23"/>
      <c r="S278" s="23"/>
      <c r="T278" s="23"/>
      <c r="U278" s="23"/>
      <c r="V278" s="23"/>
    </row>
    <row r="279" spans="1:22" x14ac:dyDescent="0.3">
      <c r="A279" s="23"/>
      <c r="B279" s="24" t="s">
        <v>265</v>
      </c>
      <c r="C279" s="25" t="s">
        <v>494</v>
      </c>
      <c r="D279" s="25" t="s">
        <v>535</v>
      </c>
      <c r="E279" s="25" t="s">
        <v>490</v>
      </c>
      <c r="F279" s="25" t="s">
        <v>488</v>
      </c>
      <c r="G279" s="26">
        <v>45333</v>
      </c>
      <c r="H279" s="26">
        <v>45327</v>
      </c>
      <c r="I279" s="26">
        <v>45226</v>
      </c>
      <c r="J279" s="27">
        <v>185</v>
      </c>
      <c r="K279" s="27">
        <v>20559.05</v>
      </c>
      <c r="L279" s="27">
        <v>2565.94</v>
      </c>
      <c r="M279" s="25" t="s">
        <v>483</v>
      </c>
      <c r="N279" s="25" t="s">
        <v>480</v>
      </c>
      <c r="O279" s="25" t="s">
        <v>476</v>
      </c>
      <c r="P279" s="28">
        <v>1</v>
      </c>
      <c r="Q279" s="23"/>
      <c r="R279" s="23"/>
      <c r="S279" s="23"/>
      <c r="T279" s="23"/>
      <c r="U279" s="23"/>
      <c r="V279" s="23"/>
    </row>
    <row r="280" spans="1:22" x14ac:dyDescent="0.3">
      <c r="A280" s="23"/>
      <c r="B280" s="24" t="s">
        <v>266</v>
      </c>
      <c r="C280" s="25" t="s">
        <v>493</v>
      </c>
      <c r="D280" s="25" t="s">
        <v>534</v>
      </c>
      <c r="E280" s="25" t="s">
        <v>492</v>
      </c>
      <c r="F280" s="25" t="s">
        <v>485</v>
      </c>
      <c r="G280" s="26">
        <v>45592</v>
      </c>
      <c r="H280" s="26">
        <v>45109</v>
      </c>
      <c r="I280" s="26">
        <v>45188</v>
      </c>
      <c r="J280" s="27">
        <v>132</v>
      </c>
      <c r="K280" s="27">
        <v>18354.600000000002</v>
      </c>
      <c r="L280" s="27">
        <v>7403.72</v>
      </c>
      <c r="M280" s="25" t="s">
        <v>482</v>
      </c>
      <c r="N280" s="25" t="s">
        <v>477</v>
      </c>
      <c r="O280" s="25" t="s">
        <v>475</v>
      </c>
      <c r="P280" s="28">
        <v>5</v>
      </c>
      <c r="Q280" s="23"/>
      <c r="R280" s="23"/>
      <c r="S280" s="23"/>
      <c r="T280" s="23"/>
      <c r="U280" s="23"/>
      <c r="V280" s="23"/>
    </row>
    <row r="281" spans="1:22" x14ac:dyDescent="0.3">
      <c r="A281" s="23"/>
      <c r="B281" s="24" t="s">
        <v>267</v>
      </c>
      <c r="C281" s="25" t="s">
        <v>495</v>
      </c>
      <c r="D281" s="25" t="s">
        <v>535</v>
      </c>
      <c r="E281" s="25" t="s">
        <v>491</v>
      </c>
      <c r="F281" s="25" t="s">
        <v>486</v>
      </c>
      <c r="G281" s="26">
        <v>45122</v>
      </c>
      <c r="H281" s="26">
        <v>45545</v>
      </c>
      <c r="I281" s="26">
        <v>45011</v>
      </c>
      <c r="J281" s="27">
        <v>133</v>
      </c>
      <c r="K281" s="27">
        <v>16962.82</v>
      </c>
      <c r="L281" s="27">
        <v>5991.7</v>
      </c>
      <c r="M281" s="25" t="s">
        <v>482</v>
      </c>
      <c r="N281" s="25" t="s">
        <v>479</v>
      </c>
      <c r="O281" s="25" t="s">
        <v>476</v>
      </c>
      <c r="P281" s="28">
        <v>17</v>
      </c>
      <c r="Q281" s="23"/>
      <c r="R281" s="23"/>
      <c r="S281" s="23"/>
      <c r="T281" s="23"/>
      <c r="U281" s="23"/>
      <c r="V281" s="23"/>
    </row>
    <row r="282" spans="1:22" x14ac:dyDescent="0.3">
      <c r="A282" s="23"/>
      <c r="B282" s="24" t="s">
        <v>268</v>
      </c>
      <c r="C282" s="25" t="s">
        <v>494</v>
      </c>
      <c r="D282" s="25" t="s">
        <v>535</v>
      </c>
      <c r="E282" s="25" t="s">
        <v>491</v>
      </c>
      <c r="F282" s="25" t="s">
        <v>487</v>
      </c>
      <c r="G282" s="26">
        <v>45392</v>
      </c>
      <c r="H282" s="26">
        <v>45656</v>
      </c>
      <c r="I282" s="26">
        <v>45198</v>
      </c>
      <c r="J282" s="27">
        <v>526</v>
      </c>
      <c r="K282" s="27">
        <v>18909.7</v>
      </c>
      <c r="L282" s="27">
        <v>6694.22</v>
      </c>
      <c r="M282" s="25" t="s">
        <v>484</v>
      </c>
      <c r="N282" s="25" t="s">
        <v>478</v>
      </c>
      <c r="O282" s="25" t="s">
        <v>475</v>
      </c>
      <c r="P282" s="28">
        <v>5</v>
      </c>
      <c r="Q282" s="23"/>
      <c r="R282" s="23"/>
      <c r="S282" s="23"/>
      <c r="T282" s="23"/>
      <c r="U282" s="23"/>
      <c r="V282" s="23"/>
    </row>
    <row r="283" spans="1:22" x14ac:dyDescent="0.3">
      <c r="A283" s="23"/>
      <c r="B283" s="24" t="s">
        <v>269</v>
      </c>
      <c r="C283" s="25" t="s">
        <v>495</v>
      </c>
      <c r="D283" s="25" t="s">
        <v>535</v>
      </c>
      <c r="E283" s="25" t="s">
        <v>491</v>
      </c>
      <c r="F283" s="25" t="s">
        <v>488</v>
      </c>
      <c r="G283" s="26">
        <v>45237</v>
      </c>
      <c r="H283" s="26">
        <v>45132</v>
      </c>
      <c r="I283" s="26">
        <v>45349</v>
      </c>
      <c r="J283" s="27">
        <v>576</v>
      </c>
      <c r="K283" s="27">
        <v>133735.67999999999</v>
      </c>
      <c r="L283" s="27">
        <v>4857.6499999999996</v>
      </c>
      <c r="M283" s="25" t="s">
        <v>483</v>
      </c>
      <c r="N283" s="25" t="s">
        <v>480</v>
      </c>
      <c r="O283" s="25" t="s">
        <v>475</v>
      </c>
      <c r="P283" s="28">
        <v>12</v>
      </c>
      <c r="Q283" s="23"/>
      <c r="R283" s="23"/>
      <c r="S283" s="23"/>
      <c r="T283" s="23"/>
      <c r="U283" s="23"/>
      <c r="V283" s="23"/>
    </row>
    <row r="284" spans="1:22" x14ac:dyDescent="0.3">
      <c r="A284" s="23"/>
      <c r="B284" s="24" t="s">
        <v>270</v>
      </c>
      <c r="C284" s="25" t="s">
        <v>494</v>
      </c>
      <c r="D284" s="25" t="s">
        <v>535</v>
      </c>
      <c r="E284" s="25" t="s">
        <v>492</v>
      </c>
      <c r="F284" s="25" t="s">
        <v>488</v>
      </c>
      <c r="G284" s="26">
        <v>45188</v>
      </c>
      <c r="H284" s="26">
        <v>45509</v>
      </c>
      <c r="I284" s="26">
        <v>45165</v>
      </c>
      <c r="J284" s="27">
        <v>400</v>
      </c>
      <c r="K284" s="27">
        <v>147080</v>
      </c>
      <c r="L284" s="27">
        <v>6961.68</v>
      </c>
      <c r="M284" s="25" t="s">
        <v>483</v>
      </c>
      <c r="N284" s="25" t="s">
        <v>479</v>
      </c>
      <c r="O284" s="25" t="s">
        <v>476</v>
      </c>
      <c r="P284" s="28">
        <v>25</v>
      </c>
      <c r="Q284" s="23"/>
      <c r="R284" s="23"/>
      <c r="S284" s="23"/>
      <c r="T284" s="23"/>
      <c r="U284" s="23"/>
      <c r="V284" s="23"/>
    </row>
    <row r="285" spans="1:22" x14ac:dyDescent="0.3">
      <c r="A285" s="23"/>
      <c r="B285" s="24" t="s">
        <v>271</v>
      </c>
      <c r="C285" s="25" t="s">
        <v>495</v>
      </c>
      <c r="D285" s="25" t="s">
        <v>536</v>
      </c>
      <c r="E285" s="25" t="s">
        <v>492</v>
      </c>
      <c r="F285" s="25" t="s">
        <v>485</v>
      </c>
      <c r="G285" s="26">
        <v>45345</v>
      </c>
      <c r="H285" s="26">
        <v>45483</v>
      </c>
      <c r="I285" s="26">
        <v>45241</v>
      </c>
      <c r="J285" s="27">
        <v>115</v>
      </c>
      <c r="K285" s="27">
        <v>35112.949999999997</v>
      </c>
      <c r="L285" s="27">
        <v>1606.94</v>
      </c>
      <c r="M285" s="25" t="s">
        <v>481</v>
      </c>
      <c r="N285" s="25" t="s">
        <v>479</v>
      </c>
      <c r="O285" s="25" t="s">
        <v>476</v>
      </c>
      <c r="P285" s="28">
        <v>18</v>
      </c>
      <c r="Q285" s="23"/>
      <c r="R285" s="23"/>
      <c r="S285" s="23"/>
      <c r="T285" s="23"/>
      <c r="U285" s="23"/>
      <c r="V285" s="23"/>
    </row>
    <row r="286" spans="1:22" x14ac:dyDescent="0.3">
      <c r="A286" s="23"/>
      <c r="B286" s="24" t="s">
        <v>272</v>
      </c>
      <c r="C286" s="25" t="s">
        <v>493</v>
      </c>
      <c r="D286" s="25" t="s">
        <v>534</v>
      </c>
      <c r="E286" s="25" t="s">
        <v>490</v>
      </c>
      <c r="F286" s="25" t="s">
        <v>488</v>
      </c>
      <c r="G286" s="26">
        <v>45332</v>
      </c>
      <c r="H286" s="26">
        <v>45155</v>
      </c>
      <c r="I286" s="26">
        <v>45287</v>
      </c>
      <c r="J286" s="27">
        <v>305</v>
      </c>
      <c r="K286" s="27">
        <v>103111.34999999999</v>
      </c>
      <c r="L286" s="27">
        <v>6685.13</v>
      </c>
      <c r="M286" s="25" t="s">
        <v>481</v>
      </c>
      <c r="N286" s="25" t="s">
        <v>477</v>
      </c>
      <c r="O286" s="25" t="s">
        <v>474</v>
      </c>
      <c r="P286" s="28">
        <v>29</v>
      </c>
      <c r="Q286" s="23"/>
      <c r="R286" s="23"/>
      <c r="S286" s="23"/>
      <c r="T286" s="23"/>
      <c r="U286" s="23"/>
      <c r="V286" s="23"/>
    </row>
    <row r="287" spans="1:22" x14ac:dyDescent="0.3">
      <c r="A287" s="23"/>
      <c r="B287" s="24" t="s">
        <v>273</v>
      </c>
      <c r="C287" s="25" t="s">
        <v>495</v>
      </c>
      <c r="D287" s="25" t="s">
        <v>534</v>
      </c>
      <c r="E287" s="25" t="s">
        <v>490</v>
      </c>
      <c r="F287" s="25" t="s">
        <v>488</v>
      </c>
      <c r="G287" s="26">
        <v>45069</v>
      </c>
      <c r="H287" s="26">
        <v>45623</v>
      </c>
      <c r="I287" s="26">
        <v>45143</v>
      </c>
      <c r="J287" s="27">
        <v>411</v>
      </c>
      <c r="K287" s="27">
        <v>18564.87</v>
      </c>
      <c r="L287" s="27">
        <v>4951.0600000000004</v>
      </c>
      <c r="M287" s="25" t="s">
        <v>483</v>
      </c>
      <c r="N287" s="25" t="s">
        <v>480</v>
      </c>
      <c r="O287" s="25" t="s">
        <v>474</v>
      </c>
      <c r="P287" s="28">
        <v>1</v>
      </c>
      <c r="Q287" s="23"/>
      <c r="R287" s="23"/>
      <c r="S287" s="23"/>
      <c r="T287" s="23"/>
      <c r="U287" s="23"/>
      <c r="V287" s="23"/>
    </row>
    <row r="288" spans="1:22" x14ac:dyDescent="0.3">
      <c r="A288" s="23"/>
      <c r="B288" s="24" t="s">
        <v>274</v>
      </c>
      <c r="C288" s="25" t="s">
        <v>495</v>
      </c>
      <c r="D288" s="25" t="s">
        <v>534</v>
      </c>
      <c r="E288" s="25" t="s">
        <v>492</v>
      </c>
      <c r="F288" s="25" t="s">
        <v>487</v>
      </c>
      <c r="G288" s="26">
        <v>45268</v>
      </c>
      <c r="H288" s="26">
        <v>45546</v>
      </c>
      <c r="I288" s="26">
        <v>45504</v>
      </c>
      <c r="J288" s="27">
        <v>556</v>
      </c>
      <c r="K288" s="27">
        <v>264650.44</v>
      </c>
      <c r="L288" s="27">
        <v>718.98</v>
      </c>
      <c r="M288" s="25" t="s">
        <v>481</v>
      </c>
      <c r="N288" s="25" t="s">
        <v>477</v>
      </c>
      <c r="O288" s="25" t="s">
        <v>474</v>
      </c>
      <c r="P288" s="28">
        <v>11</v>
      </c>
      <c r="Q288" s="23"/>
      <c r="R288" s="23"/>
      <c r="S288" s="23"/>
      <c r="T288" s="23"/>
      <c r="U288" s="23"/>
      <c r="V288" s="23"/>
    </row>
    <row r="289" spans="1:22" x14ac:dyDescent="0.3">
      <c r="A289" s="23"/>
      <c r="B289" s="24" t="s">
        <v>275</v>
      </c>
      <c r="C289" s="25" t="s">
        <v>493</v>
      </c>
      <c r="D289" s="25" t="s">
        <v>536</v>
      </c>
      <c r="E289" s="25" t="s">
        <v>492</v>
      </c>
      <c r="F289" s="25" t="s">
        <v>487</v>
      </c>
      <c r="G289" s="26">
        <v>45242</v>
      </c>
      <c r="H289" s="26">
        <v>45523</v>
      </c>
      <c r="I289" s="26">
        <v>44979</v>
      </c>
      <c r="J289" s="27">
        <v>508</v>
      </c>
      <c r="K289" s="27">
        <v>213385.4</v>
      </c>
      <c r="L289" s="27">
        <v>3209.62</v>
      </c>
      <c r="M289" s="25" t="s">
        <v>483</v>
      </c>
      <c r="N289" s="25" t="s">
        <v>477</v>
      </c>
      <c r="O289" s="25" t="s">
        <v>476</v>
      </c>
      <c r="P289" s="28">
        <v>14</v>
      </c>
      <c r="Q289" s="23"/>
      <c r="R289" s="23"/>
      <c r="S289" s="23"/>
      <c r="T289" s="23"/>
      <c r="U289" s="23"/>
      <c r="V289" s="23"/>
    </row>
    <row r="290" spans="1:22" x14ac:dyDescent="0.3">
      <c r="A290" s="23"/>
      <c r="B290" s="24" t="s">
        <v>276</v>
      </c>
      <c r="C290" s="25" t="s">
        <v>495</v>
      </c>
      <c r="D290" s="25" t="s">
        <v>536</v>
      </c>
      <c r="E290" s="25" t="s">
        <v>491</v>
      </c>
      <c r="F290" s="25" t="s">
        <v>486</v>
      </c>
      <c r="G290" s="26">
        <v>45027</v>
      </c>
      <c r="H290" s="26">
        <v>45177</v>
      </c>
      <c r="I290" s="26">
        <v>45057</v>
      </c>
      <c r="J290" s="27">
        <v>146</v>
      </c>
      <c r="K290" s="27">
        <v>58913.919999999998</v>
      </c>
      <c r="L290" s="27">
        <v>7969.47</v>
      </c>
      <c r="M290" s="25" t="s">
        <v>482</v>
      </c>
      <c r="N290" s="25" t="s">
        <v>477</v>
      </c>
      <c r="O290" s="25" t="s">
        <v>474</v>
      </c>
      <c r="P290" s="28">
        <v>13</v>
      </c>
      <c r="Q290" s="23"/>
      <c r="R290" s="23"/>
      <c r="S290" s="23"/>
      <c r="T290" s="23"/>
      <c r="U290" s="23"/>
      <c r="V290" s="23"/>
    </row>
    <row r="291" spans="1:22" x14ac:dyDescent="0.3">
      <c r="A291" s="23"/>
      <c r="B291" s="24" t="s">
        <v>277</v>
      </c>
      <c r="C291" s="25" t="s">
        <v>495</v>
      </c>
      <c r="D291" s="25" t="s">
        <v>536</v>
      </c>
      <c r="E291" s="25" t="s">
        <v>491</v>
      </c>
      <c r="F291" s="25" t="s">
        <v>486</v>
      </c>
      <c r="G291" s="26">
        <v>45170</v>
      </c>
      <c r="H291" s="26">
        <v>45368</v>
      </c>
      <c r="I291" s="26">
        <v>45153</v>
      </c>
      <c r="J291" s="27">
        <v>302</v>
      </c>
      <c r="K291" s="27">
        <v>124538.76</v>
      </c>
      <c r="L291" s="27">
        <v>6604.24</v>
      </c>
      <c r="M291" s="25" t="s">
        <v>482</v>
      </c>
      <c r="N291" s="25" t="s">
        <v>478</v>
      </c>
      <c r="O291" s="25" t="s">
        <v>476</v>
      </c>
      <c r="P291" s="28">
        <v>5</v>
      </c>
      <c r="Q291" s="23"/>
      <c r="R291" s="23"/>
      <c r="S291" s="23"/>
      <c r="T291" s="23"/>
      <c r="U291" s="23"/>
      <c r="V291" s="23"/>
    </row>
    <row r="292" spans="1:22" x14ac:dyDescent="0.3">
      <c r="A292" s="23"/>
      <c r="B292" s="24" t="s">
        <v>278</v>
      </c>
      <c r="C292" s="25" t="s">
        <v>496</v>
      </c>
      <c r="D292" s="25" t="s">
        <v>536</v>
      </c>
      <c r="E292" s="25" t="s">
        <v>490</v>
      </c>
      <c r="F292" s="25" t="s">
        <v>486</v>
      </c>
      <c r="G292" s="26">
        <v>45416</v>
      </c>
      <c r="H292" s="26">
        <v>45460</v>
      </c>
      <c r="I292" s="26">
        <v>45209</v>
      </c>
      <c r="J292" s="27">
        <v>307</v>
      </c>
      <c r="K292" s="27">
        <v>143273.82999999999</v>
      </c>
      <c r="L292" s="27">
        <v>8909.57</v>
      </c>
      <c r="M292" s="25" t="s">
        <v>484</v>
      </c>
      <c r="N292" s="25" t="s">
        <v>478</v>
      </c>
      <c r="O292" s="25" t="s">
        <v>476</v>
      </c>
      <c r="P292" s="28">
        <v>17</v>
      </c>
      <c r="Q292" s="23"/>
      <c r="R292" s="23"/>
      <c r="S292" s="23"/>
      <c r="T292" s="23"/>
      <c r="U292" s="23"/>
      <c r="V292" s="23"/>
    </row>
    <row r="293" spans="1:22" x14ac:dyDescent="0.3">
      <c r="A293" s="23"/>
      <c r="B293" s="24" t="s">
        <v>279</v>
      </c>
      <c r="C293" s="25" t="s">
        <v>495</v>
      </c>
      <c r="D293" s="25" t="s">
        <v>534</v>
      </c>
      <c r="E293" s="25" t="s">
        <v>491</v>
      </c>
      <c r="F293" s="25" t="s">
        <v>485</v>
      </c>
      <c r="G293" s="26">
        <v>44938</v>
      </c>
      <c r="H293" s="26">
        <v>45123</v>
      </c>
      <c r="I293" s="26">
        <v>45338</v>
      </c>
      <c r="J293" s="27">
        <v>613</v>
      </c>
      <c r="K293" s="27">
        <v>168213.33000000002</v>
      </c>
      <c r="L293" s="27">
        <v>4008.76</v>
      </c>
      <c r="M293" s="25" t="s">
        <v>481</v>
      </c>
      <c r="N293" s="25" t="s">
        <v>480</v>
      </c>
      <c r="O293" s="25" t="s">
        <v>475</v>
      </c>
      <c r="P293" s="28">
        <v>4</v>
      </c>
      <c r="Q293" s="23"/>
      <c r="R293" s="23"/>
      <c r="S293" s="23"/>
      <c r="T293" s="23"/>
      <c r="U293" s="23"/>
      <c r="V293" s="23"/>
    </row>
    <row r="294" spans="1:22" x14ac:dyDescent="0.3">
      <c r="A294" s="23"/>
      <c r="B294" s="24" t="s">
        <v>280</v>
      </c>
      <c r="C294" s="25" t="s">
        <v>496</v>
      </c>
      <c r="D294" s="25" t="s">
        <v>534</v>
      </c>
      <c r="E294" s="25" t="s">
        <v>490</v>
      </c>
      <c r="F294" s="25" t="s">
        <v>488</v>
      </c>
      <c r="G294" s="26">
        <v>45165</v>
      </c>
      <c r="H294" s="26">
        <v>45617</v>
      </c>
      <c r="I294" s="26">
        <v>45435</v>
      </c>
      <c r="J294" s="27">
        <v>277</v>
      </c>
      <c r="K294" s="27">
        <v>28846.78</v>
      </c>
      <c r="L294" s="27">
        <v>3162.14</v>
      </c>
      <c r="M294" s="25" t="s">
        <v>482</v>
      </c>
      <c r="N294" s="25" t="s">
        <v>480</v>
      </c>
      <c r="O294" s="25" t="s">
        <v>476</v>
      </c>
      <c r="P294" s="28">
        <v>17</v>
      </c>
      <c r="Q294" s="23"/>
      <c r="R294" s="23"/>
      <c r="S294" s="23"/>
      <c r="T294" s="23"/>
      <c r="U294" s="23"/>
      <c r="V294" s="23"/>
    </row>
    <row r="295" spans="1:22" x14ac:dyDescent="0.3">
      <c r="A295" s="23"/>
      <c r="B295" s="24" t="s">
        <v>281</v>
      </c>
      <c r="C295" s="25" t="s">
        <v>495</v>
      </c>
      <c r="D295" s="25" t="s">
        <v>536</v>
      </c>
      <c r="E295" s="25" t="s">
        <v>492</v>
      </c>
      <c r="F295" s="25" t="s">
        <v>485</v>
      </c>
      <c r="G295" s="26">
        <v>44968</v>
      </c>
      <c r="H295" s="26">
        <v>44997</v>
      </c>
      <c r="I295" s="26">
        <v>45207</v>
      </c>
      <c r="J295" s="27">
        <v>657</v>
      </c>
      <c r="K295" s="27">
        <v>244883.61000000002</v>
      </c>
      <c r="L295" s="27">
        <v>7969.47</v>
      </c>
      <c r="M295" s="25" t="s">
        <v>481</v>
      </c>
      <c r="N295" s="25" t="s">
        <v>479</v>
      </c>
      <c r="O295" s="25" t="s">
        <v>475</v>
      </c>
      <c r="P295" s="28">
        <v>2</v>
      </c>
      <c r="Q295" s="23"/>
      <c r="R295" s="23"/>
      <c r="S295" s="23"/>
      <c r="T295" s="23"/>
      <c r="U295" s="23"/>
      <c r="V295" s="23"/>
    </row>
    <row r="296" spans="1:22" x14ac:dyDescent="0.3">
      <c r="A296" s="23"/>
      <c r="B296" s="24" t="s">
        <v>282</v>
      </c>
      <c r="C296" s="25" t="s">
        <v>493</v>
      </c>
      <c r="D296" s="25" t="s">
        <v>535</v>
      </c>
      <c r="E296" s="25" t="s">
        <v>492</v>
      </c>
      <c r="F296" s="25" t="s">
        <v>487</v>
      </c>
      <c r="G296" s="26">
        <v>45604</v>
      </c>
      <c r="H296" s="26">
        <v>45566</v>
      </c>
      <c r="I296" s="26">
        <v>45368</v>
      </c>
      <c r="J296" s="27">
        <v>231</v>
      </c>
      <c r="K296" s="27">
        <v>85532.37</v>
      </c>
      <c r="L296" s="27">
        <v>5734.04</v>
      </c>
      <c r="M296" s="25" t="s">
        <v>481</v>
      </c>
      <c r="N296" s="25" t="s">
        <v>479</v>
      </c>
      <c r="O296" s="25" t="s">
        <v>475</v>
      </c>
      <c r="P296" s="28">
        <v>2</v>
      </c>
      <c r="Q296" s="23"/>
      <c r="R296" s="23"/>
      <c r="S296" s="23"/>
      <c r="T296" s="23"/>
      <c r="U296" s="23"/>
      <c r="V296" s="23"/>
    </row>
    <row r="297" spans="1:22" x14ac:dyDescent="0.3">
      <c r="A297" s="23"/>
      <c r="B297" s="24" t="s">
        <v>283</v>
      </c>
      <c r="C297" s="25" t="s">
        <v>493</v>
      </c>
      <c r="D297" s="25" t="s">
        <v>535</v>
      </c>
      <c r="E297" s="25" t="s">
        <v>490</v>
      </c>
      <c r="F297" s="25" t="s">
        <v>486</v>
      </c>
      <c r="G297" s="26">
        <v>45520</v>
      </c>
      <c r="H297" s="26">
        <v>45326</v>
      </c>
      <c r="I297" s="26">
        <v>45037</v>
      </c>
      <c r="J297" s="27">
        <v>103</v>
      </c>
      <c r="K297" s="27">
        <v>27101.360000000001</v>
      </c>
      <c r="L297" s="27">
        <v>9812.1200000000008</v>
      </c>
      <c r="M297" s="25" t="s">
        <v>484</v>
      </c>
      <c r="N297" s="25" t="s">
        <v>477</v>
      </c>
      <c r="O297" s="25" t="s">
        <v>476</v>
      </c>
      <c r="P297" s="28">
        <v>21</v>
      </c>
      <c r="Q297" s="23"/>
      <c r="R297" s="23"/>
      <c r="S297" s="23"/>
      <c r="T297" s="23"/>
      <c r="U297" s="23"/>
      <c r="V297" s="23"/>
    </row>
    <row r="298" spans="1:22" x14ac:dyDescent="0.3">
      <c r="A298" s="23"/>
      <c r="B298" s="24" t="s">
        <v>284</v>
      </c>
      <c r="C298" s="25" t="s">
        <v>495</v>
      </c>
      <c r="D298" s="25" t="s">
        <v>535</v>
      </c>
      <c r="E298" s="25" t="s">
        <v>492</v>
      </c>
      <c r="F298" s="25" t="s">
        <v>486</v>
      </c>
      <c r="G298" s="26">
        <v>45355</v>
      </c>
      <c r="H298" s="26">
        <v>45599</v>
      </c>
      <c r="I298" s="26">
        <v>45588</v>
      </c>
      <c r="J298" s="27">
        <v>550</v>
      </c>
      <c r="K298" s="27">
        <v>21389.5</v>
      </c>
      <c r="L298" s="27">
        <v>2846.45</v>
      </c>
      <c r="M298" s="25" t="s">
        <v>483</v>
      </c>
      <c r="N298" s="25" t="s">
        <v>478</v>
      </c>
      <c r="O298" s="25" t="s">
        <v>476</v>
      </c>
      <c r="P298" s="28">
        <v>21</v>
      </c>
      <c r="Q298" s="23"/>
      <c r="R298" s="23"/>
      <c r="S298" s="23"/>
      <c r="T298" s="23"/>
      <c r="U298" s="23"/>
      <c r="V298" s="23"/>
    </row>
    <row r="299" spans="1:22" x14ac:dyDescent="0.3">
      <c r="A299" s="23"/>
      <c r="B299" s="24" t="s">
        <v>285</v>
      </c>
      <c r="C299" s="25" t="s">
        <v>494</v>
      </c>
      <c r="D299" s="25" t="s">
        <v>536</v>
      </c>
      <c r="E299" s="25" t="s">
        <v>490</v>
      </c>
      <c r="F299" s="25" t="s">
        <v>486</v>
      </c>
      <c r="G299" s="26">
        <v>45084</v>
      </c>
      <c r="H299" s="26">
        <v>45130</v>
      </c>
      <c r="I299" s="26">
        <v>45350</v>
      </c>
      <c r="J299" s="27">
        <v>347</v>
      </c>
      <c r="K299" s="27">
        <v>65478.899999999994</v>
      </c>
      <c r="L299" s="27">
        <v>8036.27</v>
      </c>
      <c r="M299" s="25" t="s">
        <v>483</v>
      </c>
      <c r="N299" s="25" t="s">
        <v>480</v>
      </c>
      <c r="O299" s="25" t="s">
        <v>476</v>
      </c>
      <c r="P299" s="28">
        <v>9</v>
      </c>
      <c r="Q299" s="23"/>
      <c r="R299" s="23"/>
      <c r="S299" s="23"/>
      <c r="T299" s="23"/>
      <c r="U299" s="23"/>
      <c r="V299" s="23"/>
    </row>
    <row r="300" spans="1:22" x14ac:dyDescent="0.3">
      <c r="A300" s="23"/>
      <c r="B300" s="24" t="s">
        <v>286</v>
      </c>
      <c r="C300" s="25" t="s">
        <v>495</v>
      </c>
      <c r="D300" s="25" t="s">
        <v>534</v>
      </c>
      <c r="E300" s="25" t="s">
        <v>492</v>
      </c>
      <c r="F300" s="25" t="s">
        <v>485</v>
      </c>
      <c r="G300" s="26">
        <v>45142</v>
      </c>
      <c r="H300" s="26">
        <v>45075</v>
      </c>
      <c r="I300" s="26">
        <v>45541</v>
      </c>
      <c r="J300" s="27">
        <v>283</v>
      </c>
      <c r="K300" s="27">
        <v>130400.73999999999</v>
      </c>
      <c r="L300" s="27">
        <v>9988.98</v>
      </c>
      <c r="M300" s="25" t="s">
        <v>482</v>
      </c>
      <c r="N300" s="25" t="s">
        <v>477</v>
      </c>
      <c r="O300" s="25" t="s">
        <v>475</v>
      </c>
      <c r="P300" s="28">
        <v>18</v>
      </c>
      <c r="Q300" s="23"/>
      <c r="R300" s="23"/>
      <c r="S300" s="23"/>
      <c r="T300" s="23"/>
      <c r="U300" s="23"/>
      <c r="V300" s="23"/>
    </row>
    <row r="301" spans="1:22" x14ac:dyDescent="0.3">
      <c r="A301" s="23"/>
      <c r="B301" s="24" t="s">
        <v>287</v>
      </c>
      <c r="C301" s="25" t="s">
        <v>494</v>
      </c>
      <c r="D301" s="25" t="s">
        <v>535</v>
      </c>
      <c r="E301" s="25" t="s">
        <v>492</v>
      </c>
      <c r="F301" s="25" t="s">
        <v>487</v>
      </c>
      <c r="G301" s="26">
        <v>45596</v>
      </c>
      <c r="H301" s="26">
        <v>45399</v>
      </c>
      <c r="I301" s="26">
        <v>45359</v>
      </c>
      <c r="J301" s="27">
        <v>244</v>
      </c>
      <c r="K301" s="27">
        <v>71809.2</v>
      </c>
      <c r="L301" s="27">
        <v>6264.91</v>
      </c>
      <c r="M301" s="25" t="s">
        <v>482</v>
      </c>
      <c r="N301" s="25" t="s">
        <v>478</v>
      </c>
      <c r="O301" s="25" t="s">
        <v>476</v>
      </c>
      <c r="P301" s="28">
        <v>2</v>
      </c>
      <c r="Q301" s="23"/>
      <c r="R301" s="23"/>
      <c r="S301" s="23"/>
      <c r="T301" s="23"/>
      <c r="U301" s="23"/>
      <c r="V301" s="23"/>
    </row>
    <row r="302" spans="1:22" x14ac:dyDescent="0.3">
      <c r="A302" s="23"/>
      <c r="B302" s="24" t="s">
        <v>288</v>
      </c>
      <c r="C302" s="25" t="s">
        <v>495</v>
      </c>
      <c r="D302" s="25" t="s">
        <v>535</v>
      </c>
      <c r="E302" s="25" t="s">
        <v>492</v>
      </c>
      <c r="F302" s="25" t="s">
        <v>488</v>
      </c>
      <c r="G302" s="26">
        <v>45388</v>
      </c>
      <c r="H302" s="26">
        <v>45582</v>
      </c>
      <c r="I302" s="26">
        <v>45305</v>
      </c>
      <c r="J302" s="27">
        <v>566</v>
      </c>
      <c r="K302" s="27">
        <v>153652.02000000002</v>
      </c>
      <c r="L302" s="27">
        <v>9048.3799999999992</v>
      </c>
      <c r="M302" s="25" t="s">
        <v>482</v>
      </c>
      <c r="N302" s="25" t="s">
        <v>478</v>
      </c>
      <c r="O302" s="25" t="s">
        <v>476</v>
      </c>
      <c r="P302" s="28">
        <v>28</v>
      </c>
      <c r="Q302" s="23"/>
      <c r="R302" s="23"/>
      <c r="S302" s="23"/>
      <c r="T302" s="23"/>
      <c r="U302" s="23"/>
      <c r="V302" s="23"/>
    </row>
    <row r="303" spans="1:22" x14ac:dyDescent="0.3">
      <c r="A303" s="23"/>
      <c r="B303" s="24" t="s">
        <v>289</v>
      </c>
      <c r="C303" s="25" t="s">
        <v>495</v>
      </c>
      <c r="D303" s="25" t="s">
        <v>535</v>
      </c>
      <c r="E303" s="25" t="s">
        <v>491</v>
      </c>
      <c r="F303" s="25" t="s">
        <v>488</v>
      </c>
      <c r="G303" s="26">
        <v>45060</v>
      </c>
      <c r="H303" s="26">
        <v>45126</v>
      </c>
      <c r="I303" s="26">
        <v>45003</v>
      </c>
      <c r="J303" s="27">
        <v>510</v>
      </c>
      <c r="K303" s="27">
        <v>70420.800000000003</v>
      </c>
      <c r="L303" s="27">
        <v>5382.55</v>
      </c>
      <c r="M303" s="25" t="s">
        <v>483</v>
      </c>
      <c r="N303" s="25" t="s">
        <v>480</v>
      </c>
      <c r="O303" s="25" t="s">
        <v>476</v>
      </c>
      <c r="P303" s="28">
        <v>11</v>
      </c>
      <c r="Q303" s="23"/>
      <c r="R303" s="23"/>
      <c r="S303" s="23"/>
      <c r="T303" s="23"/>
      <c r="U303" s="23"/>
      <c r="V303" s="23"/>
    </row>
    <row r="304" spans="1:22" x14ac:dyDescent="0.3">
      <c r="A304" s="23"/>
      <c r="B304" s="24" t="s">
        <v>290</v>
      </c>
      <c r="C304" s="25" t="s">
        <v>495</v>
      </c>
      <c r="D304" s="25" t="s">
        <v>535</v>
      </c>
      <c r="E304" s="25" t="s">
        <v>490</v>
      </c>
      <c r="F304" s="25" t="s">
        <v>488</v>
      </c>
      <c r="G304" s="26">
        <v>44993</v>
      </c>
      <c r="H304" s="26">
        <v>45353</v>
      </c>
      <c r="I304" s="26">
        <v>45564</v>
      </c>
      <c r="J304" s="27">
        <v>369</v>
      </c>
      <c r="K304" s="27">
        <v>69143.22</v>
      </c>
      <c r="L304" s="27">
        <v>664.99</v>
      </c>
      <c r="M304" s="25" t="s">
        <v>484</v>
      </c>
      <c r="N304" s="25" t="s">
        <v>480</v>
      </c>
      <c r="O304" s="25" t="s">
        <v>476</v>
      </c>
      <c r="P304" s="28">
        <v>28</v>
      </c>
      <c r="Q304" s="23"/>
      <c r="R304" s="23"/>
      <c r="S304" s="23"/>
      <c r="T304" s="23"/>
      <c r="U304" s="23"/>
      <c r="V304" s="23"/>
    </row>
    <row r="305" spans="1:22" x14ac:dyDescent="0.3">
      <c r="A305" s="23"/>
      <c r="B305" s="24" t="s">
        <v>291</v>
      </c>
      <c r="C305" s="25" t="s">
        <v>494</v>
      </c>
      <c r="D305" s="25" t="s">
        <v>536</v>
      </c>
      <c r="E305" s="25" t="s">
        <v>491</v>
      </c>
      <c r="F305" s="25" t="s">
        <v>485</v>
      </c>
      <c r="G305" s="26">
        <v>44933</v>
      </c>
      <c r="H305" s="26">
        <v>45593</v>
      </c>
      <c r="I305" s="26">
        <v>44960</v>
      </c>
      <c r="J305" s="27">
        <v>507</v>
      </c>
      <c r="K305" s="27">
        <v>227237.4</v>
      </c>
      <c r="L305" s="27">
        <v>2336.7800000000002</v>
      </c>
      <c r="M305" s="25" t="s">
        <v>484</v>
      </c>
      <c r="N305" s="25" t="s">
        <v>480</v>
      </c>
      <c r="O305" s="25" t="s">
        <v>475</v>
      </c>
      <c r="P305" s="28">
        <v>15</v>
      </c>
      <c r="Q305" s="23"/>
      <c r="R305" s="23"/>
      <c r="S305" s="23"/>
      <c r="T305" s="23"/>
      <c r="U305" s="23"/>
      <c r="V305" s="23"/>
    </row>
    <row r="306" spans="1:22" x14ac:dyDescent="0.3">
      <c r="A306" s="23"/>
      <c r="B306" s="24" t="s">
        <v>292</v>
      </c>
      <c r="C306" s="25" t="s">
        <v>493</v>
      </c>
      <c r="D306" s="25" t="s">
        <v>535</v>
      </c>
      <c r="E306" s="25" t="s">
        <v>491</v>
      </c>
      <c r="F306" s="25" t="s">
        <v>485</v>
      </c>
      <c r="G306" s="26">
        <v>45452</v>
      </c>
      <c r="H306" s="26">
        <v>45419</v>
      </c>
      <c r="I306" s="26">
        <v>45118</v>
      </c>
      <c r="J306" s="27">
        <v>604</v>
      </c>
      <c r="K306" s="27">
        <v>202279.59999999998</v>
      </c>
      <c r="L306" s="27">
        <v>8019.76</v>
      </c>
      <c r="M306" s="25" t="s">
        <v>483</v>
      </c>
      <c r="N306" s="25" t="s">
        <v>477</v>
      </c>
      <c r="O306" s="25" t="s">
        <v>475</v>
      </c>
      <c r="P306" s="28">
        <v>16</v>
      </c>
      <c r="Q306" s="23"/>
      <c r="R306" s="23"/>
      <c r="S306" s="23"/>
      <c r="T306" s="23"/>
      <c r="U306" s="23"/>
      <c r="V306" s="23"/>
    </row>
    <row r="307" spans="1:22" x14ac:dyDescent="0.3">
      <c r="A307" s="23"/>
      <c r="B307" s="24" t="s">
        <v>293</v>
      </c>
      <c r="C307" s="25" t="s">
        <v>495</v>
      </c>
      <c r="D307" s="25" t="s">
        <v>536</v>
      </c>
      <c r="E307" s="25" t="s">
        <v>491</v>
      </c>
      <c r="F307" s="25" t="s">
        <v>486</v>
      </c>
      <c r="G307" s="26">
        <v>44999</v>
      </c>
      <c r="H307" s="26">
        <v>45069</v>
      </c>
      <c r="I307" s="26">
        <v>45294</v>
      </c>
      <c r="J307" s="27">
        <v>522</v>
      </c>
      <c r="K307" s="27">
        <v>206064.72</v>
      </c>
      <c r="L307" s="27">
        <v>8456.4699999999993</v>
      </c>
      <c r="M307" s="25" t="s">
        <v>482</v>
      </c>
      <c r="N307" s="25" t="s">
        <v>480</v>
      </c>
      <c r="O307" s="25" t="s">
        <v>475</v>
      </c>
      <c r="P307" s="28">
        <v>6</v>
      </c>
      <c r="Q307" s="23"/>
      <c r="R307" s="23"/>
      <c r="S307" s="23"/>
      <c r="T307" s="23"/>
      <c r="U307" s="23"/>
      <c r="V307" s="23"/>
    </row>
    <row r="308" spans="1:22" x14ac:dyDescent="0.3">
      <c r="A308" s="23"/>
      <c r="B308" s="24" t="s">
        <v>294</v>
      </c>
      <c r="C308" s="25" t="s">
        <v>495</v>
      </c>
      <c r="D308" s="25" t="s">
        <v>535</v>
      </c>
      <c r="E308" s="25" t="s">
        <v>490</v>
      </c>
      <c r="F308" s="25" t="s">
        <v>486</v>
      </c>
      <c r="G308" s="26">
        <v>45325</v>
      </c>
      <c r="H308" s="26">
        <v>45240</v>
      </c>
      <c r="I308" s="26">
        <v>45381</v>
      </c>
      <c r="J308" s="27">
        <v>526</v>
      </c>
      <c r="K308" s="27">
        <v>120927.40000000001</v>
      </c>
      <c r="L308" s="27">
        <v>4799.6400000000003</v>
      </c>
      <c r="M308" s="25" t="s">
        <v>483</v>
      </c>
      <c r="N308" s="25" t="s">
        <v>480</v>
      </c>
      <c r="O308" s="25" t="s">
        <v>475</v>
      </c>
      <c r="P308" s="28">
        <v>12</v>
      </c>
      <c r="Q308" s="23"/>
      <c r="R308" s="23"/>
      <c r="S308" s="23"/>
      <c r="T308" s="23"/>
      <c r="U308" s="23"/>
      <c r="V308" s="23"/>
    </row>
    <row r="309" spans="1:22" x14ac:dyDescent="0.3">
      <c r="A309" s="23"/>
      <c r="B309" s="24" t="s">
        <v>295</v>
      </c>
      <c r="C309" s="25" t="s">
        <v>494</v>
      </c>
      <c r="D309" s="25" t="s">
        <v>535</v>
      </c>
      <c r="E309" s="25" t="s">
        <v>490</v>
      </c>
      <c r="F309" s="25" t="s">
        <v>485</v>
      </c>
      <c r="G309" s="26">
        <v>45331</v>
      </c>
      <c r="H309" s="26">
        <v>45092</v>
      </c>
      <c r="I309" s="26">
        <v>45125</v>
      </c>
      <c r="J309" s="27">
        <v>45</v>
      </c>
      <c r="K309" s="27">
        <v>14263.650000000001</v>
      </c>
      <c r="L309" s="27">
        <v>9735.16</v>
      </c>
      <c r="M309" s="25" t="s">
        <v>483</v>
      </c>
      <c r="N309" s="25" t="s">
        <v>477</v>
      </c>
      <c r="O309" s="25" t="s">
        <v>475</v>
      </c>
      <c r="P309" s="28">
        <v>23</v>
      </c>
      <c r="Q309" s="23"/>
      <c r="R309" s="23"/>
      <c r="S309" s="23"/>
      <c r="T309" s="23"/>
      <c r="U309" s="23"/>
      <c r="V309" s="23"/>
    </row>
    <row r="310" spans="1:22" x14ac:dyDescent="0.3">
      <c r="A310" s="23"/>
      <c r="B310" s="24" t="s">
        <v>296</v>
      </c>
      <c r="C310" s="25" t="s">
        <v>493</v>
      </c>
      <c r="D310" s="25" t="s">
        <v>535</v>
      </c>
      <c r="E310" s="25" t="s">
        <v>490</v>
      </c>
      <c r="F310" s="25" t="s">
        <v>485</v>
      </c>
      <c r="G310" s="26">
        <v>45601</v>
      </c>
      <c r="H310" s="26">
        <v>45241</v>
      </c>
      <c r="I310" s="26">
        <v>45086</v>
      </c>
      <c r="J310" s="27">
        <v>253</v>
      </c>
      <c r="K310" s="27">
        <v>32371.350000000002</v>
      </c>
      <c r="L310" s="27">
        <v>4574.91</v>
      </c>
      <c r="M310" s="25" t="s">
        <v>481</v>
      </c>
      <c r="N310" s="25" t="s">
        <v>477</v>
      </c>
      <c r="O310" s="25" t="s">
        <v>475</v>
      </c>
      <c r="P310" s="28">
        <v>1</v>
      </c>
      <c r="Q310" s="23"/>
      <c r="R310" s="23"/>
      <c r="S310" s="23"/>
      <c r="T310" s="23"/>
      <c r="U310" s="23"/>
      <c r="V310" s="23"/>
    </row>
    <row r="311" spans="1:22" x14ac:dyDescent="0.3">
      <c r="A311" s="23"/>
      <c r="B311" s="24" t="s">
        <v>297</v>
      </c>
      <c r="C311" s="25" t="s">
        <v>493</v>
      </c>
      <c r="D311" s="25" t="s">
        <v>535</v>
      </c>
      <c r="E311" s="25" t="s">
        <v>490</v>
      </c>
      <c r="F311" s="25" t="s">
        <v>487</v>
      </c>
      <c r="G311" s="26">
        <v>45504</v>
      </c>
      <c r="H311" s="26">
        <v>44948</v>
      </c>
      <c r="I311" s="26">
        <v>45102</v>
      </c>
      <c r="J311" s="27">
        <v>402</v>
      </c>
      <c r="K311" s="27">
        <v>142388.4</v>
      </c>
      <c r="L311" s="27">
        <v>2810.77</v>
      </c>
      <c r="M311" s="25" t="s">
        <v>482</v>
      </c>
      <c r="N311" s="25" t="s">
        <v>479</v>
      </c>
      <c r="O311" s="25" t="s">
        <v>474</v>
      </c>
      <c r="P311" s="28">
        <v>3</v>
      </c>
      <c r="Q311" s="23"/>
      <c r="R311" s="23"/>
      <c r="S311" s="23"/>
      <c r="T311" s="23"/>
      <c r="U311" s="23"/>
      <c r="V311" s="23"/>
    </row>
    <row r="312" spans="1:22" x14ac:dyDescent="0.3">
      <c r="A312" s="23"/>
      <c r="B312" s="24" t="s">
        <v>298</v>
      </c>
      <c r="C312" s="25" t="s">
        <v>495</v>
      </c>
      <c r="D312" s="25" t="s">
        <v>536</v>
      </c>
      <c r="E312" s="25" t="s">
        <v>490</v>
      </c>
      <c r="F312" s="25" t="s">
        <v>488</v>
      </c>
      <c r="G312" s="26">
        <v>45056</v>
      </c>
      <c r="H312" s="26">
        <v>45009</v>
      </c>
      <c r="I312" s="26">
        <v>44971</v>
      </c>
      <c r="J312" s="27">
        <v>368</v>
      </c>
      <c r="K312" s="27">
        <v>79730.880000000005</v>
      </c>
      <c r="L312" s="27">
        <v>1792.48</v>
      </c>
      <c r="M312" s="25" t="s">
        <v>484</v>
      </c>
      <c r="N312" s="25" t="s">
        <v>479</v>
      </c>
      <c r="O312" s="25" t="s">
        <v>476</v>
      </c>
      <c r="P312" s="28">
        <v>9</v>
      </c>
      <c r="Q312" s="23"/>
      <c r="R312" s="23"/>
      <c r="S312" s="23"/>
      <c r="T312" s="23"/>
      <c r="U312" s="23"/>
      <c r="V312" s="23"/>
    </row>
    <row r="313" spans="1:22" x14ac:dyDescent="0.3">
      <c r="A313" s="23"/>
      <c r="B313" s="24" t="s">
        <v>299</v>
      </c>
      <c r="C313" s="25" t="s">
        <v>495</v>
      </c>
      <c r="D313" s="25" t="s">
        <v>536</v>
      </c>
      <c r="E313" s="25" t="s">
        <v>490</v>
      </c>
      <c r="F313" s="25" t="s">
        <v>485</v>
      </c>
      <c r="G313" s="26">
        <v>45392</v>
      </c>
      <c r="H313" s="26">
        <v>45508</v>
      </c>
      <c r="I313" s="26">
        <v>44993</v>
      </c>
      <c r="J313" s="27">
        <v>474</v>
      </c>
      <c r="K313" s="27">
        <v>106204.44</v>
      </c>
      <c r="L313" s="27">
        <v>1472.86</v>
      </c>
      <c r="M313" s="25" t="s">
        <v>483</v>
      </c>
      <c r="N313" s="25" t="s">
        <v>480</v>
      </c>
      <c r="O313" s="25" t="s">
        <v>475</v>
      </c>
      <c r="P313" s="28">
        <v>6</v>
      </c>
      <c r="Q313" s="23"/>
      <c r="R313" s="23"/>
      <c r="S313" s="23"/>
      <c r="T313" s="23"/>
      <c r="U313" s="23"/>
      <c r="V313" s="23"/>
    </row>
    <row r="314" spans="1:22" x14ac:dyDescent="0.3">
      <c r="A314" s="23"/>
      <c r="B314" s="24" t="s">
        <v>300</v>
      </c>
      <c r="C314" s="25" t="s">
        <v>495</v>
      </c>
      <c r="D314" s="25" t="s">
        <v>536</v>
      </c>
      <c r="E314" s="25" t="s">
        <v>492</v>
      </c>
      <c r="F314" s="25" t="s">
        <v>485</v>
      </c>
      <c r="G314" s="26">
        <v>45132</v>
      </c>
      <c r="H314" s="26">
        <v>45058</v>
      </c>
      <c r="I314" s="26">
        <v>44953</v>
      </c>
      <c r="J314" s="27">
        <v>405</v>
      </c>
      <c r="K314" s="27">
        <v>132196.05000000002</v>
      </c>
      <c r="L314" s="27">
        <v>4717.62</v>
      </c>
      <c r="M314" s="25" t="s">
        <v>484</v>
      </c>
      <c r="N314" s="25" t="s">
        <v>480</v>
      </c>
      <c r="O314" s="25" t="s">
        <v>475</v>
      </c>
      <c r="P314" s="28">
        <v>23</v>
      </c>
      <c r="Q314" s="23"/>
      <c r="R314" s="23"/>
      <c r="S314" s="23"/>
      <c r="T314" s="23"/>
      <c r="U314" s="23"/>
      <c r="V314" s="23"/>
    </row>
    <row r="315" spans="1:22" x14ac:dyDescent="0.3">
      <c r="A315" s="23"/>
      <c r="B315" s="24" t="s">
        <v>301</v>
      </c>
      <c r="C315" s="25" t="s">
        <v>495</v>
      </c>
      <c r="D315" s="25" t="s">
        <v>536</v>
      </c>
      <c r="E315" s="25" t="s">
        <v>491</v>
      </c>
      <c r="F315" s="25" t="s">
        <v>486</v>
      </c>
      <c r="G315" s="26">
        <v>45192</v>
      </c>
      <c r="H315" s="26">
        <v>45526</v>
      </c>
      <c r="I315" s="26">
        <v>45290</v>
      </c>
      <c r="J315" s="27">
        <v>250</v>
      </c>
      <c r="K315" s="27">
        <v>117115</v>
      </c>
      <c r="L315" s="27">
        <v>9289.8700000000008</v>
      </c>
      <c r="M315" s="25" t="s">
        <v>482</v>
      </c>
      <c r="N315" s="25" t="s">
        <v>477</v>
      </c>
      <c r="O315" s="25" t="s">
        <v>475</v>
      </c>
      <c r="P315" s="28">
        <v>16</v>
      </c>
      <c r="Q315" s="23"/>
      <c r="R315" s="23"/>
      <c r="S315" s="23"/>
      <c r="T315" s="23"/>
      <c r="U315" s="23"/>
      <c r="V315" s="23"/>
    </row>
    <row r="316" spans="1:22" x14ac:dyDescent="0.3">
      <c r="A316" s="23"/>
      <c r="B316" s="24" t="s">
        <v>302</v>
      </c>
      <c r="C316" s="25" t="s">
        <v>495</v>
      </c>
      <c r="D316" s="25" t="s">
        <v>534</v>
      </c>
      <c r="E316" s="25" t="s">
        <v>490</v>
      </c>
      <c r="F316" s="25" t="s">
        <v>486</v>
      </c>
      <c r="G316" s="26">
        <v>45463</v>
      </c>
      <c r="H316" s="26">
        <v>45657</v>
      </c>
      <c r="I316" s="26">
        <v>45005</v>
      </c>
      <c r="J316" s="27">
        <v>508</v>
      </c>
      <c r="K316" s="27">
        <v>18633.439999999999</v>
      </c>
      <c r="L316" s="27">
        <v>1483.58</v>
      </c>
      <c r="M316" s="25" t="s">
        <v>484</v>
      </c>
      <c r="N316" s="25" t="s">
        <v>480</v>
      </c>
      <c r="O316" s="25" t="s">
        <v>475</v>
      </c>
      <c r="P316" s="28">
        <v>19</v>
      </c>
      <c r="Q316" s="23"/>
      <c r="R316" s="23"/>
      <c r="S316" s="23"/>
      <c r="T316" s="23"/>
      <c r="U316" s="23"/>
      <c r="V316" s="23"/>
    </row>
    <row r="317" spans="1:22" x14ac:dyDescent="0.3">
      <c r="A317" s="23"/>
      <c r="B317" s="24" t="s">
        <v>303</v>
      </c>
      <c r="C317" s="25" t="s">
        <v>495</v>
      </c>
      <c r="D317" s="25" t="s">
        <v>534</v>
      </c>
      <c r="E317" s="25" t="s">
        <v>492</v>
      </c>
      <c r="F317" s="25" t="s">
        <v>486</v>
      </c>
      <c r="G317" s="26">
        <v>45179</v>
      </c>
      <c r="H317" s="26">
        <v>45232</v>
      </c>
      <c r="I317" s="26">
        <v>45490</v>
      </c>
      <c r="J317" s="27">
        <v>140</v>
      </c>
      <c r="K317" s="27">
        <v>57855</v>
      </c>
      <c r="L317" s="27">
        <v>3453.97</v>
      </c>
      <c r="M317" s="25" t="s">
        <v>483</v>
      </c>
      <c r="N317" s="25" t="s">
        <v>480</v>
      </c>
      <c r="O317" s="25" t="s">
        <v>476</v>
      </c>
      <c r="P317" s="28">
        <v>5</v>
      </c>
      <c r="Q317" s="23"/>
      <c r="R317" s="23"/>
      <c r="S317" s="23"/>
      <c r="T317" s="23"/>
      <c r="U317" s="23"/>
      <c r="V317" s="23"/>
    </row>
    <row r="318" spans="1:22" x14ac:dyDescent="0.3">
      <c r="A318" s="23"/>
      <c r="B318" s="24" t="s">
        <v>304</v>
      </c>
      <c r="C318" s="25" t="s">
        <v>495</v>
      </c>
      <c r="D318" s="25" t="s">
        <v>534</v>
      </c>
      <c r="E318" s="25" t="s">
        <v>492</v>
      </c>
      <c r="F318" s="25" t="s">
        <v>486</v>
      </c>
      <c r="G318" s="26">
        <v>45215</v>
      </c>
      <c r="H318" s="26">
        <v>45298</v>
      </c>
      <c r="I318" s="26">
        <v>45602</v>
      </c>
      <c r="J318" s="27">
        <v>223</v>
      </c>
      <c r="K318" s="27">
        <v>33389.79</v>
      </c>
      <c r="L318" s="27">
        <v>1887.09</v>
      </c>
      <c r="M318" s="25" t="s">
        <v>482</v>
      </c>
      <c r="N318" s="25" t="s">
        <v>477</v>
      </c>
      <c r="O318" s="25" t="s">
        <v>476</v>
      </c>
      <c r="P318" s="28">
        <v>18</v>
      </c>
      <c r="Q318" s="23"/>
      <c r="R318" s="23"/>
      <c r="S318" s="23"/>
      <c r="T318" s="23"/>
      <c r="U318" s="23"/>
      <c r="V318" s="23"/>
    </row>
    <row r="319" spans="1:22" x14ac:dyDescent="0.3">
      <c r="A319" s="23"/>
      <c r="B319" s="24" t="s">
        <v>305</v>
      </c>
      <c r="C319" s="25" t="s">
        <v>493</v>
      </c>
      <c r="D319" s="25" t="s">
        <v>534</v>
      </c>
      <c r="E319" s="25" t="s">
        <v>491</v>
      </c>
      <c r="F319" s="25" t="s">
        <v>487</v>
      </c>
      <c r="G319" s="26">
        <v>45090</v>
      </c>
      <c r="H319" s="26">
        <v>45311</v>
      </c>
      <c r="I319" s="26">
        <v>45048</v>
      </c>
      <c r="J319" s="27">
        <v>217</v>
      </c>
      <c r="K319" s="27">
        <v>48768.58</v>
      </c>
      <c r="L319" s="27">
        <v>5337.98</v>
      </c>
      <c r="M319" s="25" t="s">
        <v>481</v>
      </c>
      <c r="N319" s="25" t="s">
        <v>477</v>
      </c>
      <c r="O319" s="25" t="s">
        <v>475</v>
      </c>
      <c r="P319" s="28">
        <v>4</v>
      </c>
      <c r="Q319" s="23"/>
      <c r="R319" s="23"/>
      <c r="S319" s="23"/>
      <c r="T319" s="23"/>
      <c r="U319" s="23"/>
      <c r="V319" s="23"/>
    </row>
    <row r="320" spans="1:22" x14ac:dyDescent="0.3">
      <c r="A320" s="23"/>
      <c r="B320" s="24" t="s">
        <v>306</v>
      </c>
      <c r="C320" s="25" t="s">
        <v>493</v>
      </c>
      <c r="D320" s="25" t="s">
        <v>534</v>
      </c>
      <c r="E320" s="25" t="s">
        <v>490</v>
      </c>
      <c r="F320" s="25" t="s">
        <v>486</v>
      </c>
      <c r="G320" s="26">
        <v>45036</v>
      </c>
      <c r="H320" s="26">
        <v>45352</v>
      </c>
      <c r="I320" s="26">
        <v>45310</v>
      </c>
      <c r="J320" s="27">
        <v>259</v>
      </c>
      <c r="K320" s="27">
        <v>39891.18</v>
      </c>
      <c r="L320" s="27">
        <v>4666.62</v>
      </c>
      <c r="M320" s="25" t="s">
        <v>483</v>
      </c>
      <c r="N320" s="25" t="s">
        <v>478</v>
      </c>
      <c r="O320" s="25" t="s">
        <v>475</v>
      </c>
      <c r="P320" s="28">
        <v>9</v>
      </c>
      <c r="Q320" s="23"/>
      <c r="R320" s="23"/>
      <c r="S320" s="23"/>
      <c r="T320" s="23"/>
      <c r="U320" s="23"/>
      <c r="V320" s="23"/>
    </row>
    <row r="321" spans="1:22" x14ac:dyDescent="0.3">
      <c r="A321" s="23"/>
      <c r="B321" s="24" t="s">
        <v>560</v>
      </c>
      <c r="C321" s="25" t="s">
        <v>493</v>
      </c>
      <c r="D321" s="25" t="s">
        <v>534</v>
      </c>
      <c r="E321" s="25" t="s">
        <v>490</v>
      </c>
      <c r="F321" s="25" t="s">
        <v>486</v>
      </c>
      <c r="G321" s="26">
        <v>45262</v>
      </c>
      <c r="H321" s="26">
        <v>45088</v>
      </c>
      <c r="I321" s="26">
        <v>45609</v>
      </c>
      <c r="J321" s="27">
        <v>84</v>
      </c>
      <c r="K321" s="27">
        <v>21319.200000000001</v>
      </c>
      <c r="L321" s="27">
        <v>7579.47</v>
      </c>
      <c r="M321" s="25" t="s">
        <v>483</v>
      </c>
      <c r="N321" s="25" t="s">
        <v>479</v>
      </c>
      <c r="O321" s="25" t="s">
        <v>475</v>
      </c>
      <c r="P321" s="28">
        <v>8</v>
      </c>
      <c r="Q321" s="23"/>
      <c r="R321" s="23"/>
      <c r="S321" s="23"/>
      <c r="T321" s="23"/>
      <c r="U321" s="23"/>
      <c r="V321" s="23"/>
    </row>
    <row r="322" spans="1:22" x14ac:dyDescent="0.3">
      <c r="A322" s="23"/>
      <c r="B322" s="24" t="s">
        <v>307</v>
      </c>
      <c r="C322" s="25" t="s">
        <v>496</v>
      </c>
      <c r="D322" s="25" t="s">
        <v>534</v>
      </c>
      <c r="E322" s="25" t="s">
        <v>492</v>
      </c>
      <c r="F322" s="25" t="s">
        <v>488</v>
      </c>
      <c r="G322" s="26">
        <v>45164</v>
      </c>
      <c r="H322" s="26">
        <v>45105</v>
      </c>
      <c r="I322" s="26">
        <v>45220</v>
      </c>
      <c r="J322" s="27">
        <v>404</v>
      </c>
      <c r="K322" s="27">
        <v>13255.240000000002</v>
      </c>
      <c r="L322" s="27">
        <v>2062.4299999999998</v>
      </c>
      <c r="M322" s="25" t="s">
        <v>482</v>
      </c>
      <c r="N322" s="25" t="s">
        <v>480</v>
      </c>
      <c r="O322" s="25" t="s">
        <v>475</v>
      </c>
      <c r="P322" s="28">
        <v>26</v>
      </c>
      <c r="Q322" s="23"/>
      <c r="R322" s="23"/>
      <c r="S322" s="23"/>
      <c r="T322" s="23"/>
      <c r="U322" s="23"/>
      <c r="V322" s="23"/>
    </row>
    <row r="323" spans="1:22" x14ac:dyDescent="0.3">
      <c r="A323" s="23"/>
      <c r="B323" s="24" t="s">
        <v>308</v>
      </c>
      <c r="C323" s="25" t="s">
        <v>496</v>
      </c>
      <c r="D323" s="25" t="s">
        <v>535</v>
      </c>
      <c r="E323" s="25" t="s">
        <v>491</v>
      </c>
      <c r="F323" s="25" t="s">
        <v>486</v>
      </c>
      <c r="G323" s="26">
        <v>45307</v>
      </c>
      <c r="H323" s="26">
        <v>45556</v>
      </c>
      <c r="I323" s="26">
        <v>45370</v>
      </c>
      <c r="J323" s="27">
        <v>110</v>
      </c>
      <c r="K323" s="27">
        <v>27289.9</v>
      </c>
      <c r="L323" s="27">
        <v>3264.12</v>
      </c>
      <c r="M323" s="25" t="s">
        <v>483</v>
      </c>
      <c r="N323" s="25" t="s">
        <v>480</v>
      </c>
      <c r="O323" s="25" t="s">
        <v>475</v>
      </c>
      <c r="P323" s="28">
        <v>12</v>
      </c>
      <c r="Q323" s="23"/>
      <c r="R323" s="23"/>
      <c r="S323" s="23"/>
      <c r="T323" s="23"/>
      <c r="U323" s="23"/>
      <c r="V323" s="23"/>
    </row>
    <row r="324" spans="1:22" x14ac:dyDescent="0.3">
      <c r="A324" s="23"/>
      <c r="B324" s="24" t="s">
        <v>309</v>
      </c>
      <c r="C324" s="25" t="s">
        <v>495</v>
      </c>
      <c r="D324" s="25" t="s">
        <v>534</v>
      </c>
      <c r="E324" s="25" t="s">
        <v>490</v>
      </c>
      <c r="F324" s="25" t="s">
        <v>487</v>
      </c>
      <c r="G324" s="26">
        <v>45362</v>
      </c>
      <c r="H324" s="26">
        <v>45635</v>
      </c>
      <c r="I324" s="26">
        <v>45598</v>
      </c>
      <c r="J324" s="27">
        <v>377</v>
      </c>
      <c r="K324" s="27">
        <v>174897.84</v>
      </c>
      <c r="L324" s="27">
        <v>6088.13</v>
      </c>
      <c r="M324" s="25" t="s">
        <v>481</v>
      </c>
      <c r="N324" s="25" t="s">
        <v>480</v>
      </c>
      <c r="O324" s="25" t="s">
        <v>474</v>
      </c>
      <c r="P324" s="28">
        <v>18</v>
      </c>
      <c r="Q324" s="23"/>
      <c r="R324" s="23"/>
      <c r="S324" s="23"/>
      <c r="T324" s="23"/>
      <c r="U324" s="23"/>
      <c r="V324" s="23"/>
    </row>
    <row r="325" spans="1:22" x14ac:dyDescent="0.3">
      <c r="A325" s="23"/>
      <c r="B325" s="24" t="s">
        <v>310</v>
      </c>
      <c r="C325" s="25" t="s">
        <v>495</v>
      </c>
      <c r="D325" s="25" t="s">
        <v>534</v>
      </c>
      <c r="E325" s="25" t="s">
        <v>492</v>
      </c>
      <c r="F325" s="25" t="s">
        <v>486</v>
      </c>
      <c r="G325" s="26">
        <v>45409</v>
      </c>
      <c r="H325" s="26">
        <v>45417</v>
      </c>
      <c r="I325" s="26">
        <v>44937</v>
      </c>
      <c r="J325" s="27">
        <v>349</v>
      </c>
      <c r="K325" s="27">
        <v>133806.6</v>
      </c>
      <c r="L325" s="27">
        <v>5095.24</v>
      </c>
      <c r="M325" s="25" t="s">
        <v>481</v>
      </c>
      <c r="N325" s="25" t="s">
        <v>477</v>
      </c>
      <c r="O325" s="25" t="s">
        <v>475</v>
      </c>
      <c r="P325" s="28">
        <v>20</v>
      </c>
      <c r="Q325" s="23"/>
      <c r="R325" s="23"/>
      <c r="S325" s="23"/>
      <c r="T325" s="23"/>
      <c r="U325" s="23"/>
      <c r="V325" s="23"/>
    </row>
    <row r="326" spans="1:22" x14ac:dyDescent="0.3">
      <c r="A326" s="23"/>
      <c r="B326" s="24" t="s">
        <v>311</v>
      </c>
      <c r="C326" s="25" t="s">
        <v>494</v>
      </c>
      <c r="D326" s="25" t="s">
        <v>534</v>
      </c>
      <c r="E326" s="25" t="s">
        <v>492</v>
      </c>
      <c r="F326" s="25" t="s">
        <v>487</v>
      </c>
      <c r="G326" s="26">
        <v>44951</v>
      </c>
      <c r="H326" s="26">
        <v>45254</v>
      </c>
      <c r="I326" s="26">
        <v>45126</v>
      </c>
      <c r="J326" s="27">
        <v>349</v>
      </c>
      <c r="K326" s="27">
        <v>133806.6</v>
      </c>
      <c r="L326" s="27">
        <v>448.59</v>
      </c>
      <c r="M326" s="25" t="s">
        <v>484</v>
      </c>
      <c r="N326" s="25" t="s">
        <v>478</v>
      </c>
      <c r="O326" s="25" t="s">
        <v>476</v>
      </c>
      <c r="P326" s="28">
        <v>23</v>
      </c>
      <c r="Q326" s="23"/>
      <c r="R326" s="23"/>
      <c r="S326" s="23"/>
      <c r="T326" s="23"/>
      <c r="U326" s="23"/>
      <c r="V326" s="23"/>
    </row>
    <row r="327" spans="1:22" x14ac:dyDescent="0.3">
      <c r="A327" s="23"/>
      <c r="B327" s="24" t="s">
        <v>312</v>
      </c>
      <c r="C327" s="25" t="s">
        <v>495</v>
      </c>
      <c r="D327" s="25" t="s">
        <v>534</v>
      </c>
      <c r="E327" s="25" t="s">
        <v>490</v>
      </c>
      <c r="F327" s="25" t="s">
        <v>487</v>
      </c>
      <c r="G327" s="26">
        <v>45579</v>
      </c>
      <c r="H327" s="26">
        <v>45525</v>
      </c>
      <c r="I327" s="26">
        <v>45351</v>
      </c>
      <c r="J327" s="27">
        <v>103</v>
      </c>
      <c r="K327" s="27">
        <v>21402.37</v>
      </c>
      <c r="L327" s="27">
        <v>4693.6000000000004</v>
      </c>
      <c r="M327" s="25" t="s">
        <v>484</v>
      </c>
      <c r="N327" s="25" t="s">
        <v>477</v>
      </c>
      <c r="O327" s="25" t="s">
        <v>476</v>
      </c>
      <c r="P327" s="28">
        <v>5</v>
      </c>
      <c r="Q327" s="23"/>
      <c r="R327" s="23"/>
      <c r="S327" s="23"/>
      <c r="T327" s="23"/>
      <c r="U327" s="23"/>
      <c r="V327" s="23"/>
    </row>
    <row r="328" spans="1:22" x14ac:dyDescent="0.3">
      <c r="A328" s="23"/>
      <c r="B328" s="24" t="s">
        <v>313</v>
      </c>
      <c r="C328" s="25" t="s">
        <v>495</v>
      </c>
      <c r="D328" s="25" t="s">
        <v>536</v>
      </c>
      <c r="E328" s="25" t="s">
        <v>492</v>
      </c>
      <c r="F328" s="25" t="s">
        <v>487</v>
      </c>
      <c r="G328" s="26">
        <v>45043</v>
      </c>
      <c r="H328" s="26">
        <v>45216</v>
      </c>
      <c r="I328" s="26">
        <v>45498</v>
      </c>
      <c r="J328" s="27">
        <v>456</v>
      </c>
      <c r="K328" s="27">
        <v>150165.36000000002</v>
      </c>
      <c r="L328" s="27">
        <v>1472.86</v>
      </c>
      <c r="M328" s="25" t="s">
        <v>482</v>
      </c>
      <c r="N328" s="25" t="s">
        <v>478</v>
      </c>
      <c r="O328" s="25" t="s">
        <v>476</v>
      </c>
      <c r="P328" s="28">
        <v>3</v>
      </c>
      <c r="Q328" s="23"/>
      <c r="R328" s="23"/>
      <c r="S328" s="23"/>
      <c r="T328" s="23"/>
      <c r="U328" s="23"/>
      <c r="V328" s="23"/>
    </row>
    <row r="329" spans="1:22" x14ac:dyDescent="0.3">
      <c r="A329" s="23"/>
      <c r="B329" s="24" t="s">
        <v>314</v>
      </c>
      <c r="C329" s="25" t="s">
        <v>494</v>
      </c>
      <c r="D329" s="25" t="s">
        <v>536</v>
      </c>
      <c r="E329" s="25" t="s">
        <v>492</v>
      </c>
      <c r="F329" s="25" t="s">
        <v>487</v>
      </c>
      <c r="G329" s="26">
        <v>45408</v>
      </c>
      <c r="H329" s="26">
        <v>45520</v>
      </c>
      <c r="I329" s="26">
        <v>45123</v>
      </c>
      <c r="J329" s="27">
        <v>368</v>
      </c>
      <c r="K329" s="27">
        <v>49245.759999999995</v>
      </c>
      <c r="L329" s="27">
        <v>8389.64</v>
      </c>
      <c r="M329" s="25" t="s">
        <v>482</v>
      </c>
      <c r="N329" s="25" t="s">
        <v>480</v>
      </c>
      <c r="O329" s="25" t="s">
        <v>476</v>
      </c>
      <c r="P329" s="28">
        <v>23</v>
      </c>
      <c r="Q329" s="23"/>
      <c r="R329" s="23"/>
      <c r="S329" s="23"/>
      <c r="T329" s="23"/>
      <c r="U329" s="23"/>
      <c r="V329" s="23"/>
    </row>
    <row r="330" spans="1:22" x14ac:dyDescent="0.3">
      <c r="A330" s="23"/>
      <c r="B330" s="24" t="s">
        <v>315</v>
      </c>
      <c r="C330" s="25" t="s">
        <v>494</v>
      </c>
      <c r="D330" s="25" t="s">
        <v>536</v>
      </c>
      <c r="E330" s="25" t="s">
        <v>490</v>
      </c>
      <c r="F330" s="25" t="s">
        <v>487</v>
      </c>
      <c r="G330" s="26">
        <v>45318</v>
      </c>
      <c r="H330" s="26">
        <v>45591</v>
      </c>
      <c r="I330" s="26">
        <v>45489</v>
      </c>
      <c r="J330" s="27">
        <v>387</v>
      </c>
      <c r="K330" s="27">
        <v>32488.65</v>
      </c>
      <c r="L330" s="27">
        <v>2892.79</v>
      </c>
      <c r="M330" s="25" t="s">
        <v>484</v>
      </c>
      <c r="N330" s="25" t="s">
        <v>479</v>
      </c>
      <c r="O330" s="25" t="s">
        <v>476</v>
      </c>
      <c r="P330" s="28">
        <v>26</v>
      </c>
      <c r="Q330" s="23"/>
      <c r="R330" s="23"/>
      <c r="S330" s="23"/>
      <c r="T330" s="23"/>
      <c r="U330" s="23"/>
      <c r="V330" s="23"/>
    </row>
    <row r="331" spans="1:22" x14ac:dyDescent="0.3">
      <c r="A331" s="23"/>
      <c r="B331" s="24" t="s">
        <v>316</v>
      </c>
      <c r="C331" s="25" t="s">
        <v>493</v>
      </c>
      <c r="D331" s="25" t="s">
        <v>534</v>
      </c>
      <c r="E331" s="25" t="s">
        <v>490</v>
      </c>
      <c r="F331" s="25" t="s">
        <v>487</v>
      </c>
      <c r="G331" s="26">
        <v>45463</v>
      </c>
      <c r="H331" s="26">
        <v>45500</v>
      </c>
      <c r="I331" s="26">
        <v>45078</v>
      </c>
      <c r="J331" s="27">
        <v>593</v>
      </c>
      <c r="K331" s="27">
        <v>50066.990000000005</v>
      </c>
      <c r="L331" s="27">
        <v>8284.15</v>
      </c>
      <c r="M331" s="25" t="s">
        <v>481</v>
      </c>
      <c r="N331" s="25" t="s">
        <v>480</v>
      </c>
      <c r="O331" s="25" t="s">
        <v>476</v>
      </c>
      <c r="P331" s="28">
        <v>2</v>
      </c>
      <c r="Q331" s="23"/>
      <c r="R331" s="23"/>
      <c r="S331" s="23"/>
      <c r="T331" s="23"/>
      <c r="U331" s="23"/>
      <c r="V331" s="23"/>
    </row>
    <row r="332" spans="1:22" x14ac:dyDescent="0.3">
      <c r="A332" s="23"/>
      <c r="B332" s="24" t="s">
        <v>317</v>
      </c>
      <c r="C332" s="25" t="s">
        <v>494</v>
      </c>
      <c r="D332" s="25" t="s">
        <v>534</v>
      </c>
      <c r="E332" s="25" t="s">
        <v>490</v>
      </c>
      <c r="F332" s="25" t="s">
        <v>488</v>
      </c>
      <c r="G332" s="26">
        <v>45005</v>
      </c>
      <c r="H332" s="26">
        <v>45500</v>
      </c>
      <c r="I332" s="26">
        <v>45599</v>
      </c>
      <c r="J332" s="27">
        <v>390</v>
      </c>
      <c r="K332" s="27">
        <v>15557.1</v>
      </c>
      <c r="L332" s="27">
        <v>1587.2</v>
      </c>
      <c r="M332" s="25" t="s">
        <v>481</v>
      </c>
      <c r="N332" s="25" t="s">
        <v>480</v>
      </c>
      <c r="O332" s="25" t="s">
        <v>476</v>
      </c>
      <c r="P332" s="28">
        <v>2</v>
      </c>
      <c r="Q332" s="23"/>
      <c r="R332" s="23"/>
      <c r="S332" s="23"/>
      <c r="T332" s="23"/>
      <c r="U332" s="23"/>
      <c r="V332" s="23"/>
    </row>
    <row r="333" spans="1:22" x14ac:dyDescent="0.3">
      <c r="A333" s="23"/>
      <c r="B333" s="24" t="s">
        <v>318</v>
      </c>
      <c r="C333" s="25" t="s">
        <v>493</v>
      </c>
      <c r="D333" s="25" t="s">
        <v>534</v>
      </c>
      <c r="E333" s="25" t="s">
        <v>491</v>
      </c>
      <c r="F333" s="25" t="s">
        <v>486</v>
      </c>
      <c r="G333" s="26">
        <v>45506</v>
      </c>
      <c r="H333" s="26">
        <v>45281</v>
      </c>
      <c r="I333" s="26">
        <v>45132</v>
      </c>
      <c r="J333" s="27">
        <v>115</v>
      </c>
      <c r="K333" s="27">
        <v>11143.5</v>
      </c>
      <c r="L333" s="27">
        <v>891.43</v>
      </c>
      <c r="M333" s="25" t="s">
        <v>483</v>
      </c>
      <c r="N333" s="25" t="s">
        <v>480</v>
      </c>
      <c r="O333" s="25" t="s">
        <v>475</v>
      </c>
      <c r="P333" s="28">
        <v>3</v>
      </c>
      <c r="Q333" s="23"/>
      <c r="R333" s="23"/>
      <c r="S333" s="23"/>
      <c r="T333" s="23"/>
      <c r="U333" s="23"/>
      <c r="V333" s="23"/>
    </row>
    <row r="334" spans="1:22" x14ac:dyDescent="0.3">
      <c r="A334" s="23"/>
      <c r="B334" s="24" t="s">
        <v>319</v>
      </c>
      <c r="C334" s="25" t="s">
        <v>495</v>
      </c>
      <c r="D334" s="25" t="s">
        <v>534</v>
      </c>
      <c r="E334" s="25" t="s">
        <v>490</v>
      </c>
      <c r="F334" s="25" t="s">
        <v>485</v>
      </c>
      <c r="G334" s="26">
        <v>45099</v>
      </c>
      <c r="H334" s="26">
        <v>44955</v>
      </c>
      <c r="I334" s="26">
        <v>45374</v>
      </c>
      <c r="J334" s="27">
        <v>503</v>
      </c>
      <c r="K334" s="27">
        <v>167896.37000000002</v>
      </c>
      <c r="L334" s="27">
        <v>7077.15</v>
      </c>
      <c r="M334" s="25" t="s">
        <v>483</v>
      </c>
      <c r="N334" s="25" t="s">
        <v>477</v>
      </c>
      <c r="O334" s="25" t="s">
        <v>474</v>
      </c>
      <c r="P334" s="28">
        <v>24</v>
      </c>
      <c r="Q334" s="23"/>
      <c r="R334" s="23"/>
      <c r="S334" s="23"/>
      <c r="T334" s="23"/>
      <c r="U334" s="23"/>
      <c r="V334" s="23"/>
    </row>
    <row r="335" spans="1:22" x14ac:dyDescent="0.3">
      <c r="A335" s="23"/>
      <c r="B335" s="24" t="s">
        <v>320</v>
      </c>
      <c r="C335" s="25" t="s">
        <v>495</v>
      </c>
      <c r="D335" s="25" t="s">
        <v>536</v>
      </c>
      <c r="E335" s="25" t="s">
        <v>490</v>
      </c>
      <c r="F335" s="25" t="s">
        <v>486</v>
      </c>
      <c r="G335" s="26">
        <v>44938</v>
      </c>
      <c r="H335" s="26">
        <v>44970</v>
      </c>
      <c r="I335" s="26">
        <v>45349</v>
      </c>
      <c r="J335" s="27">
        <v>453</v>
      </c>
      <c r="K335" s="27">
        <v>199972.32</v>
      </c>
      <c r="L335" s="27">
        <v>4494.8100000000004</v>
      </c>
      <c r="M335" s="25" t="s">
        <v>483</v>
      </c>
      <c r="N335" s="25" t="s">
        <v>479</v>
      </c>
      <c r="O335" s="25" t="s">
        <v>474</v>
      </c>
      <c r="P335" s="28">
        <v>4</v>
      </c>
      <c r="Q335" s="23"/>
      <c r="R335" s="23"/>
      <c r="S335" s="23"/>
      <c r="T335" s="23"/>
      <c r="U335" s="23"/>
      <c r="V335" s="23"/>
    </row>
    <row r="336" spans="1:22" x14ac:dyDescent="0.3">
      <c r="A336" s="23"/>
      <c r="B336" s="24" t="s">
        <v>321</v>
      </c>
      <c r="C336" s="25" t="s">
        <v>494</v>
      </c>
      <c r="D336" s="25" t="s">
        <v>536</v>
      </c>
      <c r="E336" s="25" t="s">
        <v>490</v>
      </c>
      <c r="F336" s="25" t="s">
        <v>487</v>
      </c>
      <c r="G336" s="26">
        <v>45054</v>
      </c>
      <c r="H336" s="26">
        <v>45608</v>
      </c>
      <c r="I336" s="26">
        <v>45357</v>
      </c>
      <c r="J336" s="27">
        <v>617</v>
      </c>
      <c r="K336" s="27">
        <v>251729.83000000002</v>
      </c>
      <c r="L336" s="27">
        <v>8047.86</v>
      </c>
      <c r="M336" s="25" t="s">
        <v>483</v>
      </c>
      <c r="N336" s="25" t="s">
        <v>478</v>
      </c>
      <c r="O336" s="25" t="s">
        <v>474</v>
      </c>
      <c r="P336" s="28">
        <v>7</v>
      </c>
      <c r="Q336" s="23"/>
      <c r="R336" s="23"/>
      <c r="S336" s="23"/>
      <c r="T336" s="23"/>
      <c r="U336" s="23"/>
      <c r="V336" s="23"/>
    </row>
    <row r="337" spans="1:22" x14ac:dyDescent="0.3">
      <c r="A337" s="23"/>
      <c r="B337" s="24" t="s">
        <v>322</v>
      </c>
      <c r="C337" s="25" t="s">
        <v>494</v>
      </c>
      <c r="D337" s="25" t="s">
        <v>536</v>
      </c>
      <c r="E337" s="25" t="s">
        <v>492</v>
      </c>
      <c r="F337" s="25" t="s">
        <v>488</v>
      </c>
      <c r="G337" s="26">
        <v>45534</v>
      </c>
      <c r="H337" s="26">
        <v>45350</v>
      </c>
      <c r="I337" s="26">
        <v>45409</v>
      </c>
      <c r="J337" s="27">
        <v>662</v>
      </c>
      <c r="K337" s="27">
        <v>227820.68</v>
      </c>
      <c r="L337" s="27">
        <v>3753.12</v>
      </c>
      <c r="M337" s="25" t="s">
        <v>483</v>
      </c>
      <c r="N337" s="25" t="s">
        <v>480</v>
      </c>
      <c r="O337" s="25" t="s">
        <v>474</v>
      </c>
      <c r="P337" s="28">
        <v>15</v>
      </c>
      <c r="Q337" s="23"/>
      <c r="R337" s="23"/>
      <c r="S337" s="23"/>
      <c r="T337" s="23"/>
      <c r="U337" s="23"/>
      <c r="V337" s="23"/>
    </row>
    <row r="338" spans="1:22" x14ac:dyDescent="0.3">
      <c r="A338" s="23"/>
      <c r="B338" s="24" t="s">
        <v>323</v>
      </c>
      <c r="C338" s="25" t="s">
        <v>495</v>
      </c>
      <c r="D338" s="25" t="s">
        <v>536</v>
      </c>
      <c r="E338" s="25" t="s">
        <v>492</v>
      </c>
      <c r="F338" s="25" t="s">
        <v>486</v>
      </c>
      <c r="G338" s="26">
        <v>45018</v>
      </c>
      <c r="H338" s="26">
        <v>45525</v>
      </c>
      <c r="I338" s="26">
        <v>45405</v>
      </c>
      <c r="J338" s="27">
        <v>499</v>
      </c>
      <c r="K338" s="27">
        <v>29770.339999999997</v>
      </c>
      <c r="L338" s="27">
        <v>6116.49</v>
      </c>
      <c r="M338" s="25" t="s">
        <v>484</v>
      </c>
      <c r="N338" s="25" t="s">
        <v>479</v>
      </c>
      <c r="O338" s="25" t="s">
        <v>475</v>
      </c>
      <c r="P338" s="28">
        <v>21</v>
      </c>
      <c r="Q338" s="23"/>
      <c r="R338" s="23"/>
      <c r="S338" s="23"/>
      <c r="T338" s="23"/>
      <c r="U338" s="23"/>
      <c r="V338" s="23"/>
    </row>
    <row r="339" spans="1:22" x14ac:dyDescent="0.3">
      <c r="A339" s="23"/>
      <c r="B339" s="24" t="s">
        <v>324</v>
      </c>
      <c r="C339" s="25" t="s">
        <v>495</v>
      </c>
      <c r="D339" s="25" t="s">
        <v>536</v>
      </c>
      <c r="E339" s="25" t="s">
        <v>490</v>
      </c>
      <c r="F339" s="25" t="s">
        <v>488</v>
      </c>
      <c r="G339" s="26">
        <v>45579</v>
      </c>
      <c r="H339" s="26">
        <v>45104</v>
      </c>
      <c r="I339" s="26">
        <v>45056</v>
      </c>
      <c r="J339" s="27">
        <v>287</v>
      </c>
      <c r="K339" s="27">
        <v>42519.05</v>
      </c>
      <c r="L339" s="27">
        <v>8988.9500000000007</v>
      </c>
      <c r="M339" s="25" t="s">
        <v>484</v>
      </c>
      <c r="N339" s="25" t="s">
        <v>479</v>
      </c>
      <c r="O339" s="25" t="s">
        <v>475</v>
      </c>
      <c r="P339" s="28">
        <v>2</v>
      </c>
      <c r="Q339" s="23"/>
      <c r="R339" s="23"/>
      <c r="S339" s="23"/>
      <c r="T339" s="23"/>
      <c r="U339" s="23"/>
      <c r="V339" s="23"/>
    </row>
    <row r="340" spans="1:22" x14ac:dyDescent="0.3">
      <c r="A340" s="23"/>
      <c r="B340" s="24" t="s">
        <v>325</v>
      </c>
      <c r="C340" s="25" t="s">
        <v>495</v>
      </c>
      <c r="D340" s="25" t="s">
        <v>535</v>
      </c>
      <c r="E340" s="25" t="s">
        <v>490</v>
      </c>
      <c r="F340" s="25" t="s">
        <v>488</v>
      </c>
      <c r="G340" s="26">
        <v>45458</v>
      </c>
      <c r="H340" s="26">
        <v>45537</v>
      </c>
      <c r="I340" s="26">
        <v>45506</v>
      </c>
      <c r="J340" s="27">
        <v>267</v>
      </c>
      <c r="K340" s="27">
        <v>34370.909999999996</v>
      </c>
      <c r="L340" s="27">
        <v>7739.08</v>
      </c>
      <c r="M340" s="25" t="s">
        <v>484</v>
      </c>
      <c r="N340" s="25" t="s">
        <v>479</v>
      </c>
      <c r="O340" s="25" t="s">
        <v>475</v>
      </c>
      <c r="P340" s="28">
        <v>23</v>
      </c>
      <c r="Q340" s="23"/>
      <c r="R340" s="23"/>
      <c r="S340" s="23"/>
      <c r="T340" s="23"/>
      <c r="U340" s="23"/>
      <c r="V340" s="23"/>
    </row>
    <row r="341" spans="1:22" x14ac:dyDescent="0.3">
      <c r="A341" s="23"/>
      <c r="B341" s="24" t="s">
        <v>326</v>
      </c>
      <c r="C341" s="25" t="s">
        <v>495</v>
      </c>
      <c r="D341" s="25" t="s">
        <v>535</v>
      </c>
      <c r="E341" s="25" t="s">
        <v>491</v>
      </c>
      <c r="F341" s="25" t="s">
        <v>488</v>
      </c>
      <c r="G341" s="26">
        <v>45584</v>
      </c>
      <c r="H341" s="26">
        <v>45421</v>
      </c>
      <c r="I341" s="26">
        <v>45255</v>
      </c>
      <c r="J341" s="27">
        <v>150</v>
      </c>
      <c r="K341" s="27">
        <v>38989.5</v>
      </c>
      <c r="L341" s="27">
        <v>6976.75</v>
      </c>
      <c r="M341" s="25" t="s">
        <v>483</v>
      </c>
      <c r="N341" s="25" t="s">
        <v>477</v>
      </c>
      <c r="O341" s="25" t="s">
        <v>475</v>
      </c>
      <c r="P341" s="28">
        <v>11</v>
      </c>
      <c r="Q341" s="23"/>
      <c r="R341" s="23"/>
      <c r="S341" s="23"/>
      <c r="T341" s="23"/>
      <c r="U341" s="23"/>
      <c r="V341" s="23"/>
    </row>
    <row r="342" spans="1:22" x14ac:dyDescent="0.3">
      <c r="A342" s="23"/>
      <c r="B342" s="24" t="s">
        <v>327</v>
      </c>
      <c r="C342" s="25" t="s">
        <v>493</v>
      </c>
      <c r="D342" s="25" t="s">
        <v>535</v>
      </c>
      <c r="E342" s="25" t="s">
        <v>490</v>
      </c>
      <c r="F342" s="25" t="s">
        <v>487</v>
      </c>
      <c r="G342" s="26">
        <v>45373</v>
      </c>
      <c r="H342" s="26">
        <v>45125</v>
      </c>
      <c r="I342" s="26">
        <v>45322</v>
      </c>
      <c r="J342" s="27">
        <v>439</v>
      </c>
      <c r="K342" s="27">
        <v>118573.90000000001</v>
      </c>
      <c r="L342" s="27">
        <v>5973.27</v>
      </c>
      <c r="M342" s="25" t="s">
        <v>484</v>
      </c>
      <c r="N342" s="25" t="s">
        <v>477</v>
      </c>
      <c r="O342" s="25" t="s">
        <v>475</v>
      </c>
      <c r="P342" s="28">
        <v>24</v>
      </c>
      <c r="Q342" s="23"/>
      <c r="R342" s="23"/>
      <c r="S342" s="23"/>
      <c r="T342" s="23"/>
      <c r="U342" s="23"/>
      <c r="V342" s="23"/>
    </row>
    <row r="343" spans="1:22" x14ac:dyDescent="0.3">
      <c r="A343" s="23"/>
      <c r="B343" s="24" t="s">
        <v>328</v>
      </c>
      <c r="C343" s="25" t="s">
        <v>494</v>
      </c>
      <c r="D343" s="25" t="s">
        <v>536</v>
      </c>
      <c r="E343" s="25" t="s">
        <v>490</v>
      </c>
      <c r="F343" s="25" t="s">
        <v>487</v>
      </c>
      <c r="G343" s="26">
        <v>45316</v>
      </c>
      <c r="H343" s="26">
        <v>45537</v>
      </c>
      <c r="I343" s="26">
        <v>45618</v>
      </c>
      <c r="J343" s="27">
        <v>453</v>
      </c>
      <c r="K343" s="27">
        <v>82291.98</v>
      </c>
      <c r="L343" s="27">
        <v>5730.23</v>
      </c>
      <c r="M343" s="25" t="s">
        <v>484</v>
      </c>
      <c r="N343" s="25" t="s">
        <v>477</v>
      </c>
      <c r="O343" s="25" t="s">
        <v>476</v>
      </c>
      <c r="P343" s="28">
        <v>7</v>
      </c>
      <c r="Q343" s="23"/>
      <c r="R343" s="23"/>
      <c r="S343" s="23"/>
      <c r="T343" s="23"/>
      <c r="U343" s="23"/>
      <c r="V343" s="23"/>
    </row>
    <row r="344" spans="1:22" x14ac:dyDescent="0.3">
      <c r="A344" s="23"/>
      <c r="B344" s="24" t="s">
        <v>329</v>
      </c>
      <c r="C344" s="25" t="s">
        <v>495</v>
      </c>
      <c r="D344" s="25" t="s">
        <v>536</v>
      </c>
      <c r="E344" s="25" t="s">
        <v>492</v>
      </c>
      <c r="F344" s="25" t="s">
        <v>488</v>
      </c>
      <c r="G344" s="26">
        <v>45598</v>
      </c>
      <c r="H344" s="26">
        <v>45504</v>
      </c>
      <c r="I344" s="26">
        <v>45558</v>
      </c>
      <c r="J344" s="27">
        <v>298</v>
      </c>
      <c r="K344" s="27">
        <v>53678.74</v>
      </c>
      <c r="L344" s="27">
        <v>1077.49</v>
      </c>
      <c r="M344" s="25" t="s">
        <v>484</v>
      </c>
      <c r="N344" s="25" t="s">
        <v>479</v>
      </c>
      <c r="O344" s="25" t="s">
        <v>476</v>
      </c>
      <c r="P344" s="28">
        <v>12</v>
      </c>
      <c r="Q344" s="23"/>
      <c r="R344" s="23"/>
      <c r="S344" s="23"/>
      <c r="T344" s="23"/>
      <c r="U344" s="23"/>
      <c r="V344" s="23"/>
    </row>
    <row r="345" spans="1:22" x14ac:dyDescent="0.3">
      <c r="A345" s="23"/>
      <c r="B345" s="24" t="s">
        <v>330</v>
      </c>
      <c r="C345" s="25" t="s">
        <v>495</v>
      </c>
      <c r="D345" s="25" t="s">
        <v>535</v>
      </c>
      <c r="E345" s="25" t="s">
        <v>491</v>
      </c>
      <c r="F345" s="25" t="s">
        <v>485</v>
      </c>
      <c r="G345" s="26">
        <v>44969</v>
      </c>
      <c r="H345" s="26">
        <v>45444</v>
      </c>
      <c r="I345" s="26">
        <v>45370</v>
      </c>
      <c r="J345" s="27">
        <v>326</v>
      </c>
      <c r="K345" s="27">
        <v>135335.63999999998</v>
      </c>
      <c r="L345" s="27">
        <v>7972.6</v>
      </c>
      <c r="M345" s="25" t="s">
        <v>484</v>
      </c>
      <c r="N345" s="25" t="s">
        <v>477</v>
      </c>
      <c r="O345" s="25" t="s">
        <v>475</v>
      </c>
      <c r="P345" s="28">
        <v>3</v>
      </c>
      <c r="Q345" s="23"/>
      <c r="R345" s="23"/>
      <c r="S345" s="23"/>
      <c r="T345" s="23"/>
      <c r="U345" s="23"/>
      <c r="V345" s="23"/>
    </row>
    <row r="346" spans="1:22" x14ac:dyDescent="0.3">
      <c r="A346" s="23"/>
      <c r="B346" s="24" t="s">
        <v>331</v>
      </c>
      <c r="C346" s="25" t="s">
        <v>495</v>
      </c>
      <c r="D346" s="25" t="s">
        <v>536</v>
      </c>
      <c r="E346" s="25" t="s">
        <v>490</v>
      </c>
      <c r="F346" s="25" t="s">
        <v>485</v>
      </c>
      <c r="G346" s="26">
        <v>45180</v>
      </c>
      <c r="H346" s="26">
        <v>45441</v>
      </c>
      <c r="I346" s="26">
        <v>45134</v>
      </c>
      <c r="J346" s="27">
        <v>344</v>
      </c>
      <c r="K346" s="27">
        <v>136120.79999999999</v>
      </c>
      <c r="L346" s="27">
        <v>6694.22</v>
      </c>
      <c r="M346" s="25" t="s">
        <v>483</v>
      </c>
      <c r="N346" s="25" t="s">
        <v>478</v>
      </c>
      <c r="O346" s="25" t="s">
        <v>475</v>
      </c>
      <c r="P346" s="28">
        <v>13</v>
      </c>
      <c r="Q346" s="23"/>
      <c r="R346" s="23"/>
      <c r="S346" s="23"/>
      <c r="T346" s="23"/>
      <c r="U346" s="23"/>
      <c r="V346" s="23"/>
    </row>
    <row r="347" spans="1:22" x14ac:dyDescent="0.3">
      <c r="A347" s="23"/>
      <c r="B347" s="24" t="s">
        <v>331</v>
      </c>
      <c r="C347" s="25" t="s">
        <v>495</v>
      </c>
      <c r="D347" s="25" t="s">
        <v>536</v>
      </c>
      <c r="E347" s="25" t="s">
        <v>490</v>
      </c>
      <c r="F347" s="25" t="s">
        <v>488</v>
      </c>
      <c r="G347" s="26">
        <v>45056</v>
      </c>
      <c r="H347" s="26">
        <v>44949</v>
      </c>
      <c r="I347" s="26">
        <v>45416</v>
      </c>
      <c r="J347" s="27">
        <v>578</v>
      </c>
      <c r="K347" s="27">
        <v>90954.08</v>
      </c>
      <c r="L347" s="27">
        <v>6926.01</v>
      </c>
      <c r="M347" s="25" t="s">
        <v>482</v>
      </c>
      <c r="N347" s="25" t="s">
        <v>479</v>
      </c>
      <c r="O347" s="25" t="s">
        <v>475</v>
      </c>
      <c r="P347" s="28">
        <v>13</v>
      </c>
      <c r="Q347" s="23"/>
      <c r="R347" s="23"/>
      <c r="S347" s="23"/>
      <c r="T347" s="23"/>
      <c r="U347" s="23"/>
      <c r="V347" s="23"/>
    </row>
    <row r="348" spans="1:22" x14ac:dyDescent="0.3">
      <c r="A348" s="23"/>
      <c r="B348" s="24" t="s">
        <v>332</v>
      </c>
      <c r="C348" s="25" t="s">
        <v>495</v>
      </c>
      <c r="D348" s="25" t="s">
        <v>534</v>
      </c>
      <c r="E348" s="25" t="s">
        <v>491</v>
      </c>
      <c r="F348" s="25" t="s">
        <v>488</v>
      </c>
      <c r="G348" s="26">
        <v>44986</v>
      </c>
      <c r="H348" s="26">
        <v>45039</v>
      </c>
      <c r="I348" s="26">
        <v>44961</v>
      </c>
      <c r="J348" s="27">
        <v>447</v>
      </c>
      <c r="K348" s="27">
        <v>204426.50999999998</v>
      </c>
      <c r="L348" s="27">
        <v>7617.73</v>
      </c>
      <c r="M348" s="25" t="s">
        <v>484</v>
      </c>
      <c r="N348" s="25" t="s">
        <v>479</v>
      </c>
      <c r="O348" s="25" t="s">
        <v>475</v>
      </c>
      <c r="P348" s="28">
        <v>12</v>
      </c>
      <c r="Q348" s="23"/>
      <c r="R348" s="23"/>
      <c r="S348" s="23"/>
      <c r="T348" s="23"/>
      <c r="U348" s="23"/>
      <c r="V348" s="23"/>
    </row>
    <row r="349" spans="1:22" x14ac:dyDescent="0.3">
      <c r="A349" s="23"/>
      <c r="B349" s="24" t="s">
        <v>333</v>
      </c>
      <c r="C349" s="25" t="s">
        <v>495</v>
      </c>
      <c r="D349" s="25" t="s">
        <v>535</v>
      </c>
      <c r="E349" s="25" t="s">
        <v>491</v>
      </c>
      <c r="F349" s="25" t="s">
        <v>486</v>
      </c>
      <c r="G349" s="26">
        <v>45589</v>
      </c>
      <c r="H349" s="26">
        <v>44984</v>
      </c>
      <c r="I349" s="26">
        <v>45318</v>
      </c>
      <c r="J349" s="27">
        <v>526</v>
      </c>
      <c r="K349" s="27">
        <v>250712.63999999998</v>
      </c>
      <c r="L349" s="27">
        <v>6134.06</v>
      </c>
      <c r="M349" s="25" t="s">
        <v>484</v>
      </c>
      <c r="N349" s="25" t="s">
        <v>479</v>
      </c>
      <c r="O349" s="25" t="s">
        <v>475</v>
      </c>
      <c r="P349" s="28">
        <v>26</v>
      </c>
      <c r="Q349" s="23"/>
      <c r="R349" s="23"/>
      <c r="S349" s="23"/>
      <c r="T349" s="23"/>
      <c r="U349" s="23"/>
      <c r="V349" s="23"/>
    </row>
    <row r="350" spans="1:22" x14ac:dyDescent="0.3">
      <c r="A350" s="23"/>
      <c r="B350" s="24" t="s">
        <v>334</v>
      </c>
      <c r="C350" s="25" t="s">
        <v>493</v>
      </c>
      <c r="D350" s="25" t="s">
        <v>536</v>
      </c>
      <c r="E350" s="25" t="s">
        <v>490</v>
      </c>
      <c r="F350" s="25" t="s">
        <v>487</v>
      </c>
      <c r="G350" s="26">
        <v>45393</v>
      </c>
      <c r="H350" s="26">
        <v>44993</v>
      </c>
      <c r="I350" s="26">
        <v>45555</v>
      </c>
      <c r="J350" s="27">
        <v>455</v>
      </c>
      <c r="K350" s="27">
        <v>75866.7</v>
      </c>
      <c r="L350" s="27">
        <v>4871.1499999999996</v>
      </c>
      <c r="M350" s="25" t="s">
        <v>482</v>
      </c>
      <c r="N350" s="25" t="s">
        <v>478</v>
      </c>
      <c r="O350" s="25" t="s">
        <v>475</v>
      </c>
      <c r="P350" s="28">
        <v>5</v>
      </c>
      <c r="Q350" s="23"/>
      <c r="R350" s="23"/>
      <c r="S350" s="23"/>
      <c r="T350" s="23"/>
      <c r="U350" s="23"/>
      <c r="V350" s="23"/>
    </row>
    <row r="351" spans="1:22" x14ac:dyDescent="0.3">
      <c r="A351" s="23"/>
      <c r="B351" s="24" t="s">
        <v>335</v>
      </c>
      <c r="C351" s="25" t="s">
        <v>494</v>
      </c>
      <c r="D351" s="25" t="s">
        <v>535</v>
      </c>
      <c r="E351" s="25" t="s">
        <v>491</v>
      </c>
      <c r="F351" s="25" t="s">
        <v>485</v>
      </c>
      <c r="G351" s="26">
        <v>45213</v>
      </c>
      <c r="H351" s="26">
        <v>45025</v>
      </c>
      <c r="I351" s="26">
        <v>45364</v>
      </c>
      <c r="J351" s="27">
        <v>265</v>
      </c>
      <c r="K351" s="27">
        <v>47816.6</v>
      </c>
      <c r="L351" s="27">
        <v>7739.08</v>
      </c>
      <c r="M351" s="25" t="s">
        <v>484</v>
      </c>
      <c r="N351" s="25" t="s">
        <v>479</v>
      </c>
      <c r="O351" s="25" t="s">
        <v>475</v>
      </c>
      <c r="P351" s="28">
        <v>16</v>
      </c>
      <c r="Q351" s="23"/>
      <c r="R351" s="23"/>
      <c r="S351" s="23"/>
      <c r="T351" s="23"/>
      <c r="U351" s="23"/>
      <c r="V351" s="23"/>
    </row>
    <row r="352" spans="1:22" x14ac:dyDescent="0.3">
      <c r="A352" s="23"/>
      <c r="B352" s="24" t="s">
        <v>336</v>
      </c>
      <c r="C352" s="25" t="s">
        <v>495</v>
      </c>
      <c r="D352" s="25" t="s">
        <v>535</v>
      </c>
      <c r="E352" s="25" t="s">
        <v>491</v>
      </c>
      <c r="F352" s="25" t="s">
        <v>486</v>
      </c>
      <c r="G352" s="26">
        <v>45443</v>
      </c>
      <c r="H352" s="26">
        <v>45071</v>
      </c>
      <c r="I352" s="26">
        <v>45306</v>
      </c>
      <c r="J352" s="27">
        <v>200</v>
      </c>
      <c r="K352" s="27">
        <v>51058</v>
      </c>
      <c r="L352" s="27">
        <v>3172.58</v>
      </c>
      <c r="M352" s="25" t="s">
        <v>484</v>
      </c>
      <c r="N352" s="25" t="s">
        <v>479</v>
      </c>
      <c r="O352" s="25" t="s">
        <v>476</v>
      </c>
      <c r="P352" s="28">
        <v>3</v>
      </c>
      <c r="Q352" s="23"/>
      <c r="R352" s="23"/>
      <c r="S352" s="23"/>
      <c r="T352" s="23"/>
      <c r="U352" s="23"/>
      <c r="V352" s="23"/>
    </row>
    <row r="353" spans="1:22" x14ac:dyDescent="0.3">
      <c r="A353" s="23"/>
      <c r="B353" s="24" t="s">
        <v>337</v>
      </c>
      <c r="C353" s="25" t="s">
        <v>494</v>
      </c>
      <c r="D353" s="25" t="s">
        <v>534</v>
      </c>
      <c r="E353" s="25" t="s">
        <v>491</v>
      </c>
      <c r="F353" s="25" t="s">
        <v>488</v>
      </c>
      <c r="G353" s="26">
        <v>45393</v>
      </c>
      <c r="H353" s="26">
        <v>45362</v>
      </c>
      <c r="I353" s="26">
        <v>45274</v>
      </c>
      <c r="J353" s="27">
        <v>317</v>
      </c>
      <c r="K353" s="27">
        <v>149259.45000000001</v>
      </c>
      <c r="L353" s="27">
        <v>9735.16</v>
      </c>
      <c r="M353" s="25" t="s">
        <v>484</v>
      </c>
      <c r="N353" s="25" t="s">
        <v>477</v>
      </c>
      <c r="O353" s="25" t="s">
        <v>475</v>
      </c>
      <c r="P353" s="28">
        <v>7</v>
      </c>
      <c r="Q353" s="23"/>
      <c r="R353" s="23"/>
      <c r="S353" s="23"/>
      <c r="T353" s="23"/>
      <c r="U353" s="23"/>
      <c r="V353" s="23"/>
    </row>
    <row r="354" spans="1:22" x14ac:dyDescent="0.3">
      <c r="A354" s="23"/>
      <c r="B354" s="24" t="s">
        <v>338</v>
      </c>
      <c r="C354" s="25" t="s">
        <v>494</v>
      </c>
      <c r="D354" s="25" t="s">
        <v>534</v>
      </c>
      <c r="E354" s="25" t="s">
        <v>491</v>
      </c>
      <c r="F354" s="25" t="s">
        <v>486</v>
      </c>
      <c r="G354" s="26">
        <v>45271</v>
      </c>
      <c r="H354" s="26">
        <v>45564</v>
      </c>
      <c r="I354" s="26">
        <v>45373</v>
      </c>
      <c r="J354" s="27">
        <v>287</v>
      </c>
      <c r="K354" s="27">
        <v>125929.85999999999</v>
      </c>
      <c r="L354" s="27">
        <v>5337.98</v>
      </c>
      <c r="M354" s="25" t="s">
        <v>484</v>
      </c>
      <c r="N354" s="25" t="s">
        <v>480</v>
      </c>
      <c r="O354" s="25" t="s">
        <v>476</v>
      </c>
      <c r="P354" s="28">
        <v>16</v>
      </c>
      <c r="Q354" s="23"/>
      <c r="R354" s="23"/>
      <c r="S354" s="23"/>
      <c r="T354" s="23"/>
      <c r="U354" s="23"/>
      <c r="V354" s="23"/>
    </row>
    <row r="355" spans="1:22" x14ac:dyDescent="0.3">
      <c r="A355" s="23"/>
      <c r="B355" s="24" t="s">
        <v>339</v>
      </c>
      <c r="C355" s="25" t="s">
        <v>494</v>
      </c>
      <c r="D355" s="25" t="s">
        <v>535</v>
      </c>
      <c r="E355" s="25" t="s">
        <v>490</v>
      </c>
      <c r="F355" s="25" t="s">
        <v>486</v>
      </c>
      <c r="G355" s="26">
        <v>45568</v>
      </c>
      <c r="H355" s="26">
        <v>45606</v>
      </c>
      <c r="I355" s="26">
        <v>45509</v>
      </c>
      <c r="J355" s="27">
        <v>505</v>
      </c>
      <c r="K355" s="27">
        <v>28163.850000000002</v>
      </c>
      <c r="L355" s="27">
        <v>2382.5300000000002</v>
      </c>
      <c r="M355" s="25" t="s">
        <v>483</v>
      </c>
      <c r="N355" s="25" t="s">
        <v>480</v>
      </c>
      <c r="O355" s="25" t="s">
        <v>476</v>
      </c>
      <c r="P355" s="28">
        <v>2</v>
      </c>
      <c r="Q355" s="23"/>
      <c r="R355" s="23"/>
      <c r="S355" s="23"/>
      <c r="T355" s="23"/>
      <c r="U355" s="23"/>
      <c r="V355" s="23"/>
    </row>
    <row r="356" spans="1:22" x14ac:dyDescent="0.3">
      <c r="A356" s="23"/>
      <c r="B356" s="24" t="s">
        <v>340</v>
      </c>
      <c r="C356" s="25" t="s">
        <v>495</v>
      </c>
      <c r="D356" s="25" t="s">
        <v>536</v>
      </c>
      <c r="E356" s="25" t="s">
        <v>492</v>
      </c>
      <c r="F356" s="25" t="s">
        <v>485</v>
      </c>
      <c r="G356" s="26">
        <v>45308</v>
      </c>
      <c r="H356" s="26">
        <v>45013</v>
      </c>
      <c r="I356" s="26">
        <v>45005</v>
      </c>
      <c r="J356" s="27">
        <v>480</v>
      </c>
      <c r="K356" s="27">
        <v>95712</v>
      </c>
      <c r="L356" s="27">
        <v>6652.06</v>
      </c>
      <c r="M356" s="25" t="s">
        <v>482</v>
      </c>
      <c r="N356" s="25" t="s">
        <v>477</v>
      </c>
      <c r="O356" s="25" t="s">
        <v>476</v>
      </c>
      <c r="P356" s="28">
        <v>16</v>
      </c>
      <c r="Q356" s="23"/>
      <c r="R356" s="23"/>
      <c r="S356" s="23"/>
      <c r="T356" s="23"/>
      <c r="U356" s="23"/>
      <c r="V356" s="23"/>
    </row>
    <row r="357" spans="1:22" x14ac:dyDescent="0.3">
      <c r="A357" s="23"/>
      <c r="B357" s="24" t="s">
        <v>341</v>
      </c>
      <c r="C357" s="25" t="s">
        <v>493</v>
      </c>
      <c r="D357" s="25" t="s">
        <v>536</v>
      </c>
      <c r="E357" s="25" t="s">
        <v>491</v>
      </c>
      <c r="F357" s="25" t="s">
        <v>488</v>
      </c>
      <c r="G357" s="26">
        <v>45616</v>
      </c>
      <c r="H357" s="26">
        <v>45515</v>
      </c>
      <c r="I357" s="26">
        <v>45487</v>
      </c>
      <c r="J357" s="27">
        <v>417</v>
      </c>
      <c r="K357" s="27">
        <v>116309.64</v>
      </c>
      <c r="L357" s="27">
        <v>2084.2600000000002</v>
      </c>
      <c r="M357" s="25" t="s">
        <v>482</v>
      </c>
      <c r="N357" s="25" t="s">
        <v>480</v>
      </c>
      <c r="O357" s="25" t="s">
        <v>476</v>
      </c>
      <c r="P357" s="28">
        <v>8</v>
      </c>
      <c r="Q357" s="23"/>
      <c r="R357" s="23"/>
      <c r="S357" s="23"/>
      <c r="T357" s="23"/>
      <c r="U357" s="23"/>
      <c r="V357" s="23"/>
    </row>
    <row r="358" spans="1:22" x14ac:dyDescent="0.3">
      <c r="A358" s="23"/>
      <c r="B358" s="24" t="s">
        <v>342</v>
      </c>
      <c r="C358" s="25" t="s">
        <v>496</v>
      </c>
      <c r="D358" s="25" t="s">
        <v>535</v>
      </c>
      <c r="E358" s="25" t="s">
        <v>492</v>
      </c>
      <c r="F358" s="25" t="s">
        <v>487</v>
      </c>
      <c r="G358" s="26">
        <v>45179</v>
      </c>
      <c r="H358" s="26">
        <v>45271</v>
      </c>
      <c r="I358" s="26">
        <v>45596</v>
      </c>
      <c r="J358" s="27">
        <v>419</v>
      </c>
      <c r="K358" s="27">
        <v>106446.95000000001</v>
      </c>
      <c r="L358" s="27">
        <v>4903.95</v>
      </c>
      <c r="M358" s="25" t="s">
        <v>484</v>
      </c>
      <c r="N358" s="25" t="s">
        <v>477</v>
      </c>
      <c r="O358" s="25" t="s">
        <v>476</v>
      </c>
      <c r="P358" s="28">
        <v>1</v>
      </c>
      <c r="Q358" s="23"/>
      <c r="R358" s="23"/>
      <c r="S358" s="23"/>
      <c r="T358" s="23"/>
      <c r="U358" s="23"/>
      <c r="V358" s="23"/>
    </row>
    <row r="359" spans="1:22" x14ac:dyDescent="0.3">
      <c r="A359" s="23"/>
      <c r="B359" s="24" t="s">
        <v>343</v>
      </c>
      <c r="C359" s="25" t="s">
        <v>495</v>
      </c>
      <c r="D359" s="25" t="s">
        <v>535</v>
      </c>
      <c r="E359" s="25" t="s">
        <v>492</v>
      </c>
      <c r="F359" s="25" t="s">
        <v>487</v>
      </c>
      <c r="G359" s="26">
        <v>44982</v>
      </c>
      <c r="H359" s="26">
        <v>45221</v>
      </c>
      <c r="I359" s="26">
        <v>45085</v>
      </c>
      <c r="J359" s="27">
        <v>395</v>
      </c>
      <c r="K359" s="27">
        <v>39879.199999999997</v>
      </c>
      <c r="L359" s="27">
        <v>892.65</v>
      </c>
      <c r="M359" s="25" t="s">
        <v>484</v>
      </c>
      <c r="N359" s="25" t="s">
        <v>477</v>
      </c>
      <c r="O359" s="25" t="s">
        <v>476</v>
      </c>
      <c r="P359" s="28">
        <v>24</v>
      </c>
      <c r="Q359" s="23"/>
      <c r="R359" s="23"/>
      <c r="S359" s="23"/>
      <c r="T359" s="23"/>
      <c r="U359" s="23"/>
      <c r="V359" s="23"/>
    </row>
    <row r="360" spans="1:22" x14ac:dyDescent="0.3">
      <c r="A360" s="23"/>
      <c r="B360" s="24" t="s">
        <v>344</v>
      </c>
      <c r="C360" s="25" t="s">
        <v>496</v>
      </c>
      <c r="D360" s="25" t="s">
        <v>534</v>
      </c>
      <c r="E360" s="25" t="s">
        <v>491</v>
      </c>
      <c r="F360" s="25" t="s">
        <v>488</v>
      </c>
      <c r="G360" s="26">
        <v>45389</v>
      </c>
      <c r="H360" s="26">
        <v>45498</v>
      </c>
      <c r="I360" s="26">
        <v>45360</v>
      </c>
      <c r="J360" s="27">
        <v>126</v>
      </c>
      <c r="K360" s="27">
        <v>54193.86</v>
      </c>
      <c r="L360" s="27">
        <v>5972.37</v>
      </c>
      <c r="M360" s="25" t="s">
        <v>484</v>
      </c>
      <c r="N360" s="25" t="s">
        <v>477</v>
      </c>
      <c r="O360" s="25" t="s">
        <v>474</v>
      </c>
      <c r="P360" s="28">
        <v>12</v>
      </c>
      <c r="Q360" s="23"/>
      <c r="R360" s="23"/>
      <c r="S360" s="23"/>
      <c r="T360" s="23"/>
      <c r="U360" s="23"/>
      <c r="V360" s="23"/>
    </row>
    <row r="361" spans="1:22" x14ac:dyDescent="0.3">
      <c r="A361" s="23"/>
      <c r="B361" s="24" t="s">
        <v>345</v>
      </c>
      <c r="C361" s="25" t="s">
        <v>495</v>
      </c>
      <c r="D361" s="25" t="s">
        <v>534</v>
      </c>
      <c r="E361" s="25" t="s">
        <v>490</v>
      </c>
      <c r="F361" s="25" t="s">
        <v>487</v>
      </c>
      <c r="G361" s="26">
        <v>45383</v>
      </c>
      <c r="H361" s="26">
        <v>45577</v>
      </c>
      <c r="I361" s="26">
        <v>45293</v>
      </c>
      <c r="J361" s="27">
        <v>539</v>
      </c>
      <c r="K361" s="27">
        <v>183308.50999999998</v>
      </c>
      <c r="L361" s="27">
        <v>9393.73</v>
      </c>
      <c r="M361" s="25" t="s">
        <v>484</v>
      </c>
      <c r="N361" s="25" t="s">
        <v>479</v>
      </c>
      <c r="O361" s="25" t="s">
        <v>476</v>
      </c>
      <c r="P361" s="28">
        <v>19</v>
      </c>
      <c r="Q361" s="23"/>
      <c r="R361" s="23"/>
      <c r="S361" s="23"/>
      <c r="T361" s="23"/>
      <c r="U361" s="23"/>
      <c r="V361" s="23"/>
    </row>
    <row r="362" spans="1:22" x14ac:dyDescent="0.3">
      <c r="A362" s="23"/>
      <c r="B362" s="24" t="s">
        <v>346</v>
      </c>
      <c r="C362" s="25" t="s">
        <v>496</v>
      </c>
      <c r="D362" s="25" t="s">
        <v>534</v>
      </c>
      <c r="E362" s="25" t="s">
        <v>492</v>
      </c>
      <c r="F362" s="25" t="s">
        <v>487</v>
      </c>
      <c r="G362" s="26">
        <v>45009</v>
      </c>
      <c r="H362" s="26">
        <v>45538</v>
      </c>
      <c r="I362" s="26">
        <v>45378</v>
      </c>
      <c r="J362" s="27">
        <v>326</v>
      </c>
      <c r="K362" s="27">
        <v>136841.76</v>
      </c>
      <c r="L362" s="27">
        <v>8262.89</v>
      </c>
      <c r="M362" s="25" t="s">
        <v>484</v>
      </c>
      <c r="N362" s="25" t="s">
        <v>479</v>
      </c>
      <c r="O362" s="25" t="s">
        <v>475</v>
      </c>
      <c r="P362" s="28">
        <v>1</v>
      </c>
      <c r="Q362" s="23"/>
      <c r="R362" s="23"/>
      <c r="S362" s="23"/>
      <c r="T362" s="23"/>
      <c r="U362" s="23"/>
      <c r="V362" s="23"/>
    </row>
    <row r="363" spans="1:22" x14ac:dyDescent="0.3">
      <c r="A363" s="23"/>
      <c r="B363" s="24" t="s">
        <v>347</v>
      </c>
      <c r="C363" s="25" t="s">
        <v>493</v>
      </c>
      <c r="D363" s="25" t="s">
        <v>536</v>
      </c>
      <c r="E363" s="25" t="s">
        <v>491</v>
      </c>
      <c r="F363" s="25" t="s">
        <v>487</v>
      </c>
      <c r="G363" s="26">
        <v>45025</v>
      </c>
      <c r="H363" s="26">
        <v>45631</v>
      </c>
      <c r="I363" s="26">
        <v>45164</v>
      </c>
      <c r="J363" s="27">
        <v>634</v>
      </c>
      <c r="K363" s="27">
        <v>272677.06</v>
      </c>
      <c r="L363" s="27">
        <v>2155.7800000000002</v>
      </c>
      <c r="M363" s="25" t="s">
        <v>484</v>
      </c>
      <c r="N363" s="25" t="s">
        <v>477</v>
      </c>
      <c r="O363" s="25" t="s">
        <v>475</v>
      </c>
      <c r="P363" s="28">
        <v>19</v>
      </c>
      <c r="Q363" s="23"/>
      <c r="R363" s="23"/>
      <c r="S363" s="23"/>
      <c r="T363" s="23"/>
      <c r="U363" s="23"/>
      <c r="V363" s="23"/>
    </row>
    <row r="364" spans="1:22" x14ac:dyDescent="0.3">
      <c r="A364" s="23"/>
      <c r="B364" s="24" t="s">
        <v>348</v>
      </c>
      <c r="C364" s="25" t="s">
        <v>495</v>
      </c>
      <c r="D364" s="25" t="s">
        <v>536</v>
      </c>
      <c r="E364" s="25" t="s">
        <v>492</v>
      </c>
      <c r="F364" s="25" t="s">
        <v>488</v>
      </c>
      <c r="G364" s="26">
        <v>45075</v>
      </c>
      <c r="H364" s="26">
        <v>45170</v>
      </c>
      <c r="I364" s="26">
        <v>45493</v>
      </c>
      <c r="J364" s="27">
        <v>197</v>
      </c>
      <c r="K364" s="27">
        <v>43814.77</v>
      </c>
      <c r="L364" s="27">
        <v>7263.81</v>
      </c>
      <c r="M364" s="25" t="s">
        <v>481</v>
      </c>
      <c r="N364" s="25" t="s">
        <v>478</v>
      </c>
      <c r="O364" s="25" t="s">
        <v>475</v>
      </c>
      <c r="P364" s="28">
        <v>27</v>
      </c>
      <c r="Q364" s="23"/>
      <c r="R364" s="23"/>
      <c r="S364" s="23"/>
      <c r="T364" s="23"/>
      <c r="U364" s="23"/>
      <c r="V364" s="23"/>
    </row>
    <row r="365" spans="1:22" x14ac:dyDescent="0.3">
      <c r="A365" s="23"/>
      <c r="B365" s="24" t="s">
        <v>349</v>
      </c>
      <c r="C365" s="25" t="s">
        <v>496</v>
      </c>
      <c r="D365" s="25" t="s">
        <v>536</v>
      </c>
      <c r="E365" s="25" t="s">
        <v>491</v>
      </c>
      <c r="F365" s="25" t="s">
        <v>486</v>
      </c>
      <c r="G365" s="26">
        <v>45255</v>
      </c>
      <c r="H365" s="26">
        <v>45488</v>
      </c>
      <c r="I365" s="26">
        <v>45192</v>
      </c>
      <c r="J365" s="27">
        <v>197</v>
      </c>
      <c r="K365" s="27">
        <v>43814.77</v>
      </c>
      <c r="L365" s="27">
        <v>5037.6899999999996</v>
      </c>
      <c r="M365" s="25" t="s">
        <v>482</v>
      </c>
      <c r="N365" s="25" t="s">
        <v>480</v>
      </c>
      <c r="O365" s="25" t="s">
        <v>475</v>
      </c>
      <c r="P365" s="28">
        <v>10</v>
      </c>
      <c r="Q365" s="23"/>
      <c r="R365" s="23"/>
      <c r="S365" s="23"/>
      <c r="T365" s="23"/>
      <c r="U365" s="23"/>
      <c r="V365" s="23"/>
    </row>
    <row r="366" spans="1:22" x14ac:dyDescent="0.3">
      <c r="A366" s="23"/>
      <c r="B366" s="24" t="s">
        <v>350</v>
      </c>
      <c r="C366" s="25" t="s">
        <v>495</v>
      </c>
      <c r="D366" s="25" t="s">
        <v>536</v>
      </c>
      <c r="E366" s="25" t="s">
        <v>490</v>
      </c>
      <c r="F366" s="25" t="s">
        <v>486</v>
      </c>
      <c r="G366" s="26">
        <v>45082</v>
      </c>
      <c r="H366" s="26">
        <v>44959</v>
      </c>
      <c r="I366" s="26">
        <v>45055</v>
      </c>
      <c r="J366" s="27">
        <v>333</v>
      </c>
      <c r="K366" s="27">
        <v>102304.26000000001</v>
      </c>
      <c r="L366" s="27">
        <v>4366.75</v>
      </c>
      <c r="M366" s="25" t="s">
        <v>481</v>
      </c>
      <c r="N366" s="25" t="s">
        <v>479</v>
      </c>
      <c r="O366" s="25" t="s">
        <v>475</v>
      </c>
      <c r="P366" s="28">
        <v>26</v>
      </c>
      <c r="Q366" s="23"/>
      <c r="R366" s="23"/>
      <c r="S366" s="23"/>
      <c r="T366" s="23"/>
      <c r="U366" s="23"/>
      <c r="V366" s="23"/>
    </row>
    <row r="367" spans="1:22" x14ac:dyDescent="0.3">
      <c r="A367" s="23"/>
      <c r="B367" s="24" t="s">
        <v>351</v>
      </c>
      <c r="C367" s="25" t="s">
        <v>496</v>
      </c>
      <c r="D367" s="25" t="s">
        <v>536</v>
      </c>
      <c r="E367" s="25" t="s">
        <v>492</v>
      </c>
      <c r="F367" s="25" t="s">
        <v>486</v>
      </c>
      <c r="G367" s="26">
        <v>45116</v>
      </c>
      <c r="H367" s="26">
        <v>45318</v>
      </c>
      <c r="I367" s="26">
        <v>45175</v>
      </c>
      <c r="J367" s="27">
        <v>281</v>
      </c>
      <c r="K367" s="27">
        <v>23710.78</v>
      </c>
      <c r="L367" s="27">
        <v>8389.64</v>
      </c>
      <c r="M367" s="25" t="s">
        <v>481</v>
      </c>
      <c r="N367" s="25" t="s">
        <v>480</v>
      </c>
      <c r="O367" s="25" t="s">
        <v>474</v>
      </c>
      <c r="P367" s="28">
        <v>25</v>
      </c>
      <c r="Q367" s="23"/>
      <c r="R367" s="23"/>
      <c r="S367" s="23"/>
      <c r="T367" s="23"/>
      <c r="U367" s="23"/>
      <c r="V367" s="23"/>
    </row>
    <row r="368" spans="1:22" x14ac:dyDescent="0.3">
      <c r="A368" s="23"/>
      <c r="B368" s="24" t="s">
        <v>352</v>
      </c>
      <c r="C368" s="25" t="s">
        <v>493</v>
      </c>
      <c r="D368" s="25" t="s">
        <v>534</v>
      </c>
      <c r="E368" s="25" t="s">
        <v>490</v>
      </c>
      <c r="F368" s="25" t="s">
        <v>486</v>
      </c>
      <c r="G368" s="26">
        <v>45420</v>
      </c>
      <c r="H368" s="26">
        <v>45204</v>
      </c>
      <c r="I368" s="26">
        <v>45472</v>
      </c>
      <c r="J368" s="27">
        <v>251</v>
      </c>
      <c r="K368" s="27">
        <v>84950.95</v>
      </c>
      <c r="L368" s="27">
        <v>7512.28</v>
      </c>
      <c r="M368" s="25" t="s">
        <v>481</v>
      </c>
      <c r="N368" s="25" t="s">
        <v>477</v>
      </c>
      <c r="O368" s="25" t="s">
        <v>476</v>
      </c>
      <c r="P368" s="28">
        <v>21</v>
      </c>
      <c r="Q368" s="23"/>
      <c r="R368" s="23"/>
      <c r="S368" s="23"/>
      <c r="T368" s="23"/>
      <c r="U368" s="23"/>
      <c r="V368" s="23"/>
    </row>
    <row r="369" spans="1:22" x14ac:dyDescent="0.3">
      <c r="A369" s="23"/>
      <c r="B369" s="24" t="s">
        <v>353</v>
      </c>
      <c r="C369" s="25" t="s">
        <v>496</v>
      </c>
      <c r="D369" s="25" t="s">
        <v>534</v>
      </c>
      <c r="E369" s="25" t="s">
        <v>490</v>
      </c>
      <c r="F369" s="25" t="s">
        <v>486</v>
      </c>
      <c r="G369" s="26">
        <v>45189</v>
      </c>
      <c r="H369" s="26">
        <v>45459</v>
      </c>
      <c r="I369" s="26">
        <v>45415</v>
      </c>
      <c r="J369" s="27">
        <v>512</v>
      </c>
      <c r="K369" s="27">
        <v>47989.760000000002</v>
      </c>
      <c r="L369" s="27">
        <v>3705.54</v>
      </c>
      <c r="M369" s="25" t="s">
        <v>483</v>
      </c>
      <c r="N369" s="25" t="s">
        <v>477</v>
      </c>
      <c r="O369" s="25" t="s">
        <v>474</v>
      </c>
      <c r="P369" s="28">
        <v>14</v>
      </c>
      <c r="Q369" s="23"/>
      <c r="R369" s="23"/>
      <c r="S369" s="23"/>
      <c r="T369" s="23"/>
      <c r="U369" s="23"/>
      <c r="V369" s="23"/>
    </row>
    <row r="370" spans="1:22" x14ac:dyDescent="0.3">
      <c r="A370" s="23"/>
      <c r="B370" s="24" t="s">
        <v>354</v>
      </c>
      <c r="C370" s="25" t="s">
        <v>496</v>
      </c>
      <c r="D370" s="25" t="s">
        <v>534</v>
      </c>
      <c r="E370" s="25" t="s">
        <v>490</v>
      </c>
      <c r="F370" s="25" t="s">
        <v>486</v>
      </c>
      <c r="G370" s="26">
        <v>45006</v>
      </c>
      <c r="H370" s="26">
        <v>45081</v>
      </c>
      <c r="I370" s="26">
        <v>45052</v>
      </c>
      <c r="J370" s="27">
        <v>448</v>
      </c>
      <c r="K370" s="27">
        <v>156132.47999999998</v>
      </c>
      <c r="L370" s="27">
        <v>9901.58</v>
      </c>
      <c r="M370" s="25" t="s">
        <v>481</v>
      </c>
      <c r="N370" s="25" t="s">
        <v>478</v>
      </c>
      <c r="O370" s="25" t="s">
        <v>475</v>
      </c>
      <c r="P370" s="28">
        <v>10</v>
      </c>
      <c r="Q370" s="23"/>
      <c r="R370" s="23"/>
      <c r="S370" s="23"/>
      <c r="T370" s="23"/>
      <c r="U370" s="23"/>
      <c r="V370" s="23"/>
    </row>
    <row r="371" spans="1:22" x14ac:dyDescent="0.3">
      <c r="A371" s="23"/>
      <c r="B371" s="24" t="s">
        <v>355</v>
      </c>
      <c r="C371" s="25" t="s">
        <v>496</v>
      </c>
      <c r="D371" s="25" t="s">
        <v>534</v>
      </c>
      <c r="E371" s="25" t="s">
        <v>491</v>
      </c>
      <c r="F371" s="25" t="s">
        <v>486</v>
      </c>
      <c r="G371" s="26">
        <v>45326</v>
      </c>
      <c r="H371" s="26">
        <v>45310</v>
      </c>
      <c r="I371" s="26">
        <v>45055</v>
      </c>
      <c r="J371" s="27">
        <v>473</v>
      </c>
      <c r="K371" s="27">
        <v>56121.450000000004</v>
      </c>
      <c r="L371" s="27">
        <v>7620.47</v>
      </c>
      <c r="M371" s="25" t="s">
        <v>481</v>
      </c>
      <c r="N371" s="25" t="s">
        <v>477</v>
      </c>
      <c r="O371" s="25" t="s">
        <v>475</v>
      </c>
      <c r="P371" s="28">
        <v>22</v>
      </c>
      <c r="Q371" s="23"/>
      <c r="R371" s="23"/>
      <c r="S371" s="23"/>
      <c r="T371" s="23"/>
      <c r="U371" s="23"/>
      <c r="V371" s="23"/>
    </row>
    <row r="372" spans="1:22" x14ac:dyDescent="0.3">
      <c r="A372" s="23"/>
      <c r="B372" s="24" t="s">
        <v>356</v>
      </c>
      <c r="C372" s="25" t="s">
        <v>495</v>
      </c>
      <c r="D372" s="25" t="s">
        <v>534</v>
      </c>
      <c r="E372" s="25" t="s">
        <v>492</v>
      </c>
      <c r="F372" s="25" t="s">
        <v>487</v>
      </c>
      <c r="G372" s="26">
        <v>45535</v>
      </c>
      <c r="H372" s="26">
        <v>44995</v>
      </c>
      <c r="I372" s="26">
        <v>45479</v>
      </c>
      <c r="J372" s="27">
        <v>200</v>
      </c>
      <c r="K372" s="27">
        <v>12638</v>
      </c>
      <c r="L372" s="27">
        <v>5534.04</v>
      </c>
      <c r="M372" s="25" t="s">
        <v>482</v>
      </c>
      <c r="N372" s="25" t="s">
        <v>477</v>
      </c>
      <c r="O372" s="25" t="s">
        <v>475</v>
      </c>
      <c r="P372" s="28">
        <v>2</v>
      </c>
      <c r="Q372" s="23"/>
      <c r="R372" s="23"/>
      <c r="S372" s="23"/>
      <c r="T372" s="23"/>
      <c r="U372" s="23"/>
      <c r="V372" s="23"/>
    </row>
    <row r="373" spans="1:22" x14ac:dyDescent="0.3">
      <c r="A373" s="23"/>
      <c r="B373" s="24" t="s">
        <v>357</v>
      </c>
      <c r="C373" s="25" t="s">
        <v>495</v>
      </c>
      <c r="D373" s="25" t="s">
        <v>534</v>
      </c>
      <c r="E373" s="25" t="s">
        <v>492</v>
      </c>
      <c r="F373" s="25" t="s">
        <v>486</v>
      </c>
      <c r="G373" s="26">
        <v>45186</v>
      </c>
      <c r="H373" s="26">
        <v>45141</v>
      </c>
      <c r="I373" s="26">
        <v>45100</v>
      </c>
      <c r="J373" s="27">
        <v>177</v>
      </c>
      <c r="K373" s="27">
        <v>15367.14</v>
      </c>
      <c r="L373" s="27">
        <v>7435.42</v>
      </c>
      <c r="M373" s="25" t="s">
        <v>482</v>
      </c>
      <c r="N373" s="25" t="s">
        <v>477</v>
      </c>
      <c r="O373" s="25" t="s">
        <v>474</v>
      </c>
      <c r="P373" s="28">
        <v>2</v>
      </c>
      <c r="Q373" s="23"/>
      <c r="R373" s="23"/>
      <c r="S373" s="23"/>
      <c r="T373" s="23"/>
      <c r="U373" s="23"/>
      <c r="V373" s="23"/>
    </row>
    <row r="374" spans="1:22" x14ac:dyDescent="0.3">
      <c r="A374" s="23"/>
      <c r="B374" s="24" t="s">
        <v>358</v>
      </c>
      <c r="C374" s="25" t="s">
        <v>495</v>
      </c>
      <c r="D374" s="25" t="s">
        <v>536</v>
      </c>
      <c r="E374" s="25" t="s">
        <v>492</v>
      </c>
      <c r="F374" s="25" t="s">
        <v>486</v>
      </c>
      <c r="G374" s="26">
        <v>45541</v>
      </c>
      <c r="H374" s="26">
        <v>45582</v>
      </c>
      <c r="I374" s="26">
        <v>45054</v>
      </c>
      <c r="J374" s="27">
        <v>384</v>
      </c>
      <c r="K374" s="27">
        <v>2300.16</v>
      </c>
      <c r="L374" s="27">
        <v>1547.2</v>
      </c>
      <c r="M374" s="25" t="s">
        <v>481</v>
      </c>
      <c r="N374" s="25" t="s">
        <v>477</v>
      </c>
      <c r="O374" s="25" t="s">
        <v>474</v>
      </c>
      <c r="P374" s="28">
        <v>27</v>
      </c>
      <c r="Q374" s="23"/>
      <c r="R374" s="23"/>
      <c r="S374" s="23"/>
      <c r="T374" s="23"/>
      <c r="U374" s="23"/>
      <c r="V374" s="23"/>
    </row>
    <row r="375" spans="1:22" x14ac:dyDescent="0.3">
      <c r="A375" s="23"/>
      <c r="B375" s="24" t="s">
        <v>359</v>
      </c>
      <c r="C375" s="25" t="s">
        <v>493</v>
      </c>
      <c r="D375" s="25" t="s">
        <v>536</v>
      </c>
      <c r="E375" s="25" t="s">
        <v>491</v>
      </c>
      <c r="F375" s="25" t="s">
        <v>486</v>
      </c>
      <c r="G375" s="26">
        <v>45478</v>
      </c>
      <c r="H375" s="26">
        <v>45303</v>
      </c>
      <c r="I375" s="26">
        <v>44965</v>
      </c>
      <c r="J375" s="27">
        <v>519</v>
      </c>
      <c r="K375" s="27">
        <v>187244.81999999998</v>
      </c>
      <c r="L375" s="27">
        <v>4517.9399999999996</v>
      </c>
      <c r="M375" s="25" t="s">
        <v>483</v>
      </c>
      <c r="N375" s="25" t="s">
        <v>479</v>
      </c>
      <c r="O375" s="25" t="s">
        <v>476</v>
      </c>
      <c r="P375" s="28">
        <v>25</v>
      </c>
      <c r="Q375" s="23"/>
      <c r="R375" s="23"/>
      <c r="S375" s="23"/>
      <c r="T375" s="23"/>
      <c r="U375" s="23"/>
      <c r="V375" s="23"/>
    </row>
    <row r="376" spans="1:22" x14ac:dyDescent="0.3">
      <c r="A376" s="23"/>
      <c r="B376" s="24" t="s">
        <v>360</v>
      </c>
      <c r="C376" s="25" t="s">
        <v>495</v>
      </c>
      <c r="D376" s="25" t="s">
        <v>534</v>
      </c>
      <c r="E376" s="25" t="s">
        <v>490</v>
      </c>
      <c r="F376" s="25" t="s">
        <v>487</v>
      </c>
      <c r="G376" s="26">
        <v>45027</v>
      </c>
      <c r="H376" s="26">
        <v>45140</v>
      </c>
      <c r="I376" s="26">
        <v>45017</v>
      </c>
      <c r="J376" s="27">
        <v>117</v>
      </c>
      <c r="K376" s="27">
        <v>43002.18</v>
      </c>
      <c r="L376" s="27">
        <v>6791.44</v>
      </c>
      <c r="M376" s="25" t="s">
        <v>484</v>
      </c>
      <c r="N376" s="25" t="s">
        <v>477</v>
      </c>
      <c r="O376" s="25" t="s">
        <v>475</v>
      </c>
      <c r="P376" s="28">
        <v>11</v>
      </c>
      <c r="Q376" s="23"/>
      <c r="R376" s="23"/>
      <c r="S376" s="23"/>
      <c r="T376" s="23"/>
      <c r="U376" s="23"/>
      <c r="V376" s="23"/>
    </row>
    <row r="377" spans="1:22" x14ac:dyDescent="0.3">
      <c r="A377" s="23"/>
      <c r="B377" s="24" t="s">
        <v>360</v>
      </c>
      <c r="C377" s="25" t="s">
        <v>495</v>
      </c>
      <c r="D377" s="25" t="s">
        <v>534</v>
      </c>
      <c r="E377" s="25" t="s">
        <v>490</v>
      </c>
      <c r="F377" s="25" t="s">
        <v>488</v>
      </c>
      <c r="G377" s="26">
        <v>45285</v>
      </c>
      <c r="H377" s="26">
        <v>45006</v>
      </c>
      <c r="I377" s="26">
        <v>45576</v>
      </c>
      <c r="J377" s="27">
        <v>360</v>
      </c>
      <c r="K377" s="27">
        <v>93560.4</v>
      </c>
      <c r="L377" s="27">
        <v>994.43</v>
      </c>
      <c r="M377" s="25" t="s">
        <v>481</v>
      </c>
      <c r="N377" s="25" t="s">
        <v>479</v>
      </c>
      <c r="O377" s="25" t="s">
        <v>475</v>
      </c>
      <c r="P377" s="28">
        <v>23</v>
      </c>
      <c r="Q377" s="23"/>
      <c r="R377" s="23"/>
      <c r="S377" s="23"/>
      <c r="T377" s="23"/>
      <c r="U377" s="23"/>
      <c r="V377" s="23"/>
    </row>
    <row r="378" spans="1:22" x14ac:dyDescent="0.3">
      <c r="A378" s="23"/>
      <c r="B378" s="24" t="s">
        <v>361</v>
      </c>
      <c r="C378" s="25" t="s">
        <v>496</v>
      </c>
      <c r="D378" s="25" t="s">
        <v>535</v>
      </c>
      <c r="E378" s="25" t="s">
        <v>490</v>
      </c>
      <c r="F378" s="25" t="s">
        <v>488</v>
      </c>
      <c r="G378" s="26">
        <v>45306</v>
      </c>
      <c r="H378" s="26">
        <v>45653</v>
      </c>
      <c r="I378" s="26">
        <v>45638</v>
      </c>
      <c r="J378" s="27">
        <v>203</v>
      </c>
      <c r="K378" s="27">
        <v>17228.61</v>
      </c>
      <c r="L378" s="27">
        <v>6088.13</v>
      </c>
      <c r="M378" s="25" t="s">
        <v>481</v>
      </c>
      <c r="N378" s="25" t="s">
        <v>478</v>
      </c>
      <c r="O378" s="25" t="s">
        <v>476</v>
      </c>
      <c r="P378" s="28">
        <v>4</v>
      </c>
      <c r="Q378" s="23"/>
      <c r="R378" s="23"/>
      <c r="S378" s="23"/>
      <c r="T378" s="23"/>
      <c r="U378" s="23"/>
      <c r="V378" s="23"/>
    </row>
    <row r="379" spans="1:22" x14ac:dyDescent="0.3">
      <c r="A379" s="23"/>
      <c r="B379" s="24" t="s">
        <v>362</v>
      </c>
      <c r="C379" s="25" t="s">
        <v>496</v>
      </c>
      <c r="D379" s="25" t="s">
        <v>535</v>
      </c>
      <c r="E379" s="25" t="s">
        <v>490</v>
      </c>
      <c r="F379" s="25" t="s">
        <v>486</v>
      </c>
      <c r="G379" s="26">
        <v>45147</v>
      </c>
      <c r="H379" s="26">
        <v>45555</v>
      </c>
      <c r="I379" s="26">
        <v>45131</v>
      </c>
      <c r="J379" s="27">
        <v>434</v>
      </c>
      <c r="K379" s="27">
        <v>20120.239999999998</v>
      </c>
      <c r="L379" s="27">
        <v>2226.16</v>
      </c>
      <c r="M379" s="25" t="s">
        <v>483</v>
      </c>
      <c r="N379" s="25" t="s">
        <v>478</v>
      </c>
      <c r="O379" s="25" t="s">
        <v>475</v>
      </c>
      <c r="P379" s="28">
        <v>19</v>
      </c>
      <c r="Q379" s="23"/>
      <c r="R379" s="23"/>
      <c r="S379" s="23"/>
      <c r="T379" s="23"/>
      <c r="U379" s="23"/>
      <c r="V379" s="23"/>
    </row>
    <row r="380" spans="1:22" x14ac:dyDescent="0.3">
      <c r="A380" s="23"/>
      <c r="B380" s="24" t="s">
        <v>363</v>
      </c>
      <c r="C380" s="25" t="s">
        <v>493</v>
      </c>
      <c r="D380" s="25" t="s">
        <v>535</v>
      </c>
      <c r="E380" s="25" t="s">
        <v>490</v>
      </c>
      <c r="F380" s="25" t="s">
        <v>485</v>
      </c>
      <c r="G380" s="26">
        <v>45346</v>
      </c>
      <c r="H380" s="26">
        <v>45531</v>
      </c>
      <c r="I380" s="26">
        <v>45299</v>
      </c>
      <c r="J380" s="27">
        <v>509</v>
      </c>
      <c r="K380" s="27">
        <v>7365.2300000000005</v>
      </c>
      <c r="L380" s="27">
        <v>1685.84</v>
      </c>
      <c r="M380" s="25" t="s">
        <v>482</v>
      </c>
      <c r="N380" s="25" t="s">
        <v>478</v>
      </c>
      <c r="O380" s="25" t="s">
        <v>475</v>
      </c>
      <c r="P380" s="28">
        <v>6</v>
      </c>
      <c r="Q380" s="23"/>
      <c r="R380" s="23"/>
      <c r="S380" s="23"/>
      <c r="T380" s="23"/>
      <c r="U380" s="23"/>
      <c r="V380" s="23"/>
    </row>
    <row r="381" spans="1:22" x14ac:dyDescent="0.3">
      <c r="A381" s="23"/>
      <c r="B381" s="24" t="s">
        <v>364</v>
      </c>
      <c r="C381" s="25" t="s">
        <v>496</v>
      </c>
      <c r="D381" s="25" t="s">
        <v>536</v>
      </c>
      <c r="E381" s="25" t="s">
        <v>490</v>
      </c>
      <c r="F381" s="25" t="s">
        <v>486</v>
      </c>
      <c r="G381" s="26">
        <v>45050</v>
      </c>
      <c r="H381" s="26">
        <v>45308</v>
      </c>
      <c r="I381" s="26">
        <v>45007</v>
      </c>
      <c r="J381" s="27">
        <v>138</v>
      </c>
      <c r="K381" s="27">
        <v>12012.9</v>
      </c>
      <c r="L381" s="27">
        <v>7706.02</v>
      </c>
      <c r="M381" s="25" t="s">
        <v>481</v>
      </c>
      <c r="N381" s="25" t="s">
        <v>479</v>
      </c>
      <c r="O381" s="25" t="s">
        <v>475</v>
      </c>
      <c r="P381" s="28">
        <v>6</v>
      </c>
      <c r="Q381" s="23"/>
      <c r="R381" s="23"/>
      <c r="S381" s="23"/>
      <c r="T381" s="23"/>
      <c r="U381" s="23"/>
      <c r="V381" s="23"/>
    </row>
    <row r="382" spans="1:22" x14ac:dyDescent="0.3">
      <c r="A382" s="23"/>
      <c r="B382" s="24" t="s">
        <v>365</v>
      </c>
      <c r="C382" s="25" t="s">
        <v>495</v>
      </c>
      <c r="D382" s="25" t="s">
        <v>535</v>
      </c>
      <c r="E382" s="25" t="s">
        <v>491</v>
      </c>
      <c r="F382" s="25" t="s">
        <v>486</v>
      </c>
      <c r="G382" s="26">
        <v>45348</v>
      </c>
      <c r="H382" s="26">
        <v>45607</v>
      </c>
      <c r="I382" s="26">
        <v>44989</v>
      </c>
      <c r="J382" s="27">
        <v>202</v>
      </c>
      <c r="K382" s="27">
        <v>90085.94</v>
      </c>
      <c r="L382" s="27">
        <v>9836.49</v>
      </c>
      <c r="M382" s="25" t="s">
        <v>481</v>
      </c>
      <c r="N382" s="25" t="s">
        <v>480</v>
      </c>
      <c r="O382" s="25" t="s">
        <v>476</v>
      </c>
      <c r="P382" s="28">
        <v>12</v>
      </c>
      <c r="Q382" s="23"/>
      <c r="R382" s="23"/>
      <c r="S382" s="23"/>
      <c r="T382" s="23"/>
      <c r="U382" s="23"/>
      <c r="V382" s="23"/>
    </row>
    <row r="383" spans="1:22" x14ac:dyDescent="0.3">
      <c r="A383" s="23"/>
      <c r="B383" s="24" t="s">
        <v>366</v>
      </c>
      <c r="C383" s="25" t="s">
        <v>495</v>
      </c>
      <c r="D383" s="25" t="s">
        <v>535</v>
      </c>
      <c r="E383" s="25" t="s">
        <v>490</v>
      </c>
      <c r="F383" s="25" t="s">
        <v>487</v>
      </c>
      <c r="G383" s="26">
        <v>45157</v>
      </c>
      <c r="H383" s="26">
        <v>44985</v>
      </c>
      <c r="I383" s="26">
        <v>45361</v>
      </c>
      <c r="J383" s="27">
        <v>346</v>
      </c>
      <c r="K383" s="27">
        <v>43097.760000000002</v>
      </c>
      <c r="L383" s="27">
        <v>56.5</v>
      </c>
      <c r="M383" s="25" t="s">
        <v>482</v>
      </c>
      <c r="N383" s="25" t="s">
        <v>480</v>
      </c>
      <c r="O383" s="25" t="s">
        <v>475</v>
      </c>
      <c r="P383" s="28">
        <v>8</v>
      </c>
      <c r="Q383" s="23"/>
      <c r="R383" s="23"/>
      <c r="S383" s="23"/>
      <c r="T383" s="23"/>
      <c r="U383" s="23"/>
      <c r="V383" s="23"/>
    </row>
    <row r="384" spans="1:22" x14ac:dyDescent="0.3">
      <c r="A384" s="23"/>
      <c r="B384" s="24" t="s">
        <v>367</v>
      </c>
      <c r="C384" s="25" t="s">
        <v>494</v>
      </c>
      <c r="D384" s="25" t="s">
        <v>536</v>
      </c>
      <c r="E384" s="25" t="s">
        <v>490</v>
      </c>
      <c r="F384" s="25" t="s">
        <v>488</v>
      </c>
      <c r="G384" s="26">
        <v>45616</v>
      </c>
      <c r="H384" s="26">
        <v>44953</v>
      </c>
      <c r="I384" s="26">
        <v>45568</v>
      </c>
      <c r="J384" s="27">
        <v>168</v>
      </c>
      <c r="K384" s="27">
        <v>30300.480000000003</v>
      </c>
      <c r="L384" s="27">
        <v>5590.01</v>
      </c>
      <c r="M384" s="25" t="s">
        <v>483</v>
      </c>
      <c r="N384" s="25" t="s">
        <v>478</v>
      </c>
      <c r="O384" s="25" t="s">
        <v>475</v>
      </c>
      <c r="P384" s="28">
        <v>24</v>
      </c>
      <c r="Q384" s="23"/>
      <c r="R384" s="23"/>
      <c r="S384" s="23"/>
      <c r="T384" s="23"/>
      <c r="U384" s="23"/>
      <c r="V384" s="23"/>
    </row>
    <row r="385" spans="1:22" x14ac:dyDescent="0.3">
      <c r="A385" s="23"/>
      <c r="B385" s="24" t="s">
        <v>368</v>
      </c>
      <c r="C385" s="25" t="s">
        <v>496</v>
      </c>
      <c r="D385" s="25" t="s">
        <v>536</v>
      </c>
      <c r="E385" s="25" t="s">
        <v>491</v>
      </c>
      <c r="F385" s="25" t="s">
        <v>485</v>
      </c>
      <c r="G385" s="26">
        <v>44989</v>
      </c>
      <c r="H385" s="26">
        <v>45374</v>
      </c>
      <c r="I385" s="26">
        <v>45430</v>
      </c>
      <c r="J385" s="27">
        <v>362</v>
      </c>
      <c r="K385" s="27">
        <v>20688.3</v>
      </c>
      <c r="L385" s="27">
        <v>3300.06</v>
      </c>
      <c r="M385" s="25" t="s">
        <v>481</v>
      </c>
      <c r="N385" s="25" t="s">
        <v>477</v>
      </c>
      <c r="O385" s="25" t="s">
        <v>474</v>
      </c>
      <c r="P385" s="28">
        <v>20</v>
      </c>
      <c r="Q385" s="23"/>
      <c r="R385" s="23"/>
      <c r="S385" s="23"/>
      <c r="T385" s="23"/>
      <c r="U385" s="23"/>
      <c r="V385" s="23"/>
    </row>
    <row r="386" spans="1:22" x14ac:dyDescent="0.3">
      <c r="A386" s="23"/>
      <c r="B386" s="24" t="s">
        <v>369</v>
      </c>
      <c r="C386" s="25" t="s">
        <v>495</v>
      </c>
      <c r="D386" s="25" t="s">
        <v>535</v>
      </c>
      <c r="E386" s="25" t="s">
        <v>490</v>
      </c>
      <c r="F386" s="25" t="s">
        <v>486</v>
      </c>
      <c r="G386" s="26">
        <v>45411</v>
      </c>
      <c r="H386" s="26">
        <v>44993</v>
      </c>
      <c r="I386" s="26">
        <v>45039</v>
      </c>
      <c r="J386" s="27">
        <v>383</v>
      </c>
      <c r="K386" s="27">
        <v>44071.81</v>
      </c>
      <c r="L386" s="27">
        <v>2534.21</v>
      </c>
      <c r="M386" s="25" t="s">
        <v>482</v>
      </c>
      <c r="N386" s="25" t="s">
        <v>478</v>
      </c>
      <c r="O386" s="25" t="s">
        <v>475</v>
      </c>
      <c r="P386" s="28">
        <v>12</v>
      </c>
      <c r="Q386" s="23"/>
      <c r="R386" s="23"/>
      <c r="S386" s="23"/>
      <c r="T386" s="23"/>
      <c r="U386" s="23"/>
      <c r="V386" s="23"/>
    </row>
    <row r="387" spans="1:22" x14ac:dyDescent="0.3">
      <c r="A387" s="23"/>
      <c r="B387" s="24" t="s">
        <v>370</v>
      </c>
      <c r="C387" s="25" t="s">
        <v>494</v>
      </c>
      <c r="D387" s="25" t="s">
        <v>535</v>
      </c>
      <c r="E387" s="25" t="s">
        <v>491</v>
      </c>
      <c r="F387" s="25" t="s">
        <v>486</v>
      </c>
      <c r="G387" s="26">
        <v>45554</v>
      </c>
      <c r="H387" s="26">
        <v>45181</v>
      </c>
      <c r="I387" s="26">
        <v>45666</v>
      </c>
      <c r="J387" s="27">
        <v>577</v>
      </c>
      <c r="K387" s="27">
        <v>151185.53999999998</v>
      </c>
      <c r="L387" s="27">
        <v>6013.06</v>
      </c>
      <c r="M387" s="25" t="s">
        <v>481</v>
      </c>
      <c r="N387" s="25" t="s">
        <v>480</v>
      </c>
      <c r="O387" s="25" t="s">
        <v>475</v>
      </c>
      <c r="P387" s="28">
        <v>11</v>
      </c>
      <c r="Q387" s="23"/>
      <c r="R387" s="23"/>
      <c r="S387" s="23"/>
      <c r="T387" s="23"/>
      <c r="U387" s="23"/>
      <c r="V387" s="23"/>
    </row>
    <row r="388" spans="1:22" x14ac:dyDescent="0.3">
      <c r="A388" s="23"/>
      <c r="B388" s="24" t="s">
        <v>371</v>
      </c>
      <c r="C388" s="25" t="s">
        <v>494</v>
      </c>
      <c r="D388" s="25" t="s">
        <v>535</v>
      </c>
      <c r="E388" s="25" t="s">
        <v>492</v>
      </c>
      <c r="F388" s="25" t="s">
        <v>486</v>
      </c>
      <c r="G388" s="26">
        <v>45629</v>
      </c>
      <c r="H388" s="26">
        <v>44971</v>
      </c>
      <c r="I388" s="26">
        <v>45208</v>
      </c>
      <c r="J388" s="27">
        <v>604</v>
      </c>
      <c r="K388" s="27">
        <v>184727.36</v>
      </c>
      <c r="L388" s="27">
        <v>7579.47</v>
      </c>
      <c r="M388" s="25" t="s">
        <v>484</v>
      </c>
      <c r="N388" s="25" t="s">
        <v>479</v>
      </c>
      <c r="O388" s="25" t="s">
        <v>475</v>
      </c>
      <c r="P388" s="28">
        <v>12</v>
      </c>
      <c r="Q388" s="23"/>
      <c r="R388" s="23"/>
      <c r="S388" s="23"/>
      <c r="T388" s="23"/>
      <c r="U388" s="23"/>
      <c r="V388" s="23"/>
    </row>
    <row r="389" spans="1:22" x14ac:dyDescent="0.3">
      <c r="A389" s="23"/>
      <c r="B389" s="24" t="s">
        <v>372</v>
      </c>
      <c r="C389" s="25" t="s">
        <v>494</v>
      </c>
      <c r="D389" s="25" t="s">
        <v>535</v>
      </c>
      <c r="E389" s="25" t="s">
        <v>491</v>
      </c>
      <c r="F389" s="25" t="s">
        <v>487</v>
      </c>
      <c r="G389" s="26">
        <v>45500</v>
      </c>
      <c r="H389" s="26">
        <v>45024</v>
      </c>
      <c r="I389" s="26">
        <v>44998</v>
      </c>
      <c r="J389" s="27">
        <v>208</v>
      </c>
      <c r="K389" s="27">
        <v>26301.600000000002</v>
      </c>
      <c r="L389" s="27">
        <v>6256.24</v>
      </c>
      <c r="M389" s="25" t="s">
        <v>484</v>
      </c>
      <c r="N389" s="25" t="s">
        <v>477</v>
      </c>
      <c r="O389" s="25" t="s">
        <v>476</v>
      </c>
      <c r="P389" s="28">
        <v>23</v>
      </c>
      <c r="Q389" s="23"/>
      <c r="R389" s="23"/>
      <c r="S389" s="23"/>
      <c r="T389" s="23"/>
      <c r="U389" s="23"/>
      <c r="V389" s="23"/>
    </row>
    <row r="390" spans="1:22" x14ac:dyDescent="0.3">
      <c r="A390" s="23"/>
      <c r="B390" s="24" t="s">
        <v>373</v>
      </c>
      <c r="C390" s="25" t="s">
        <v>495</v>
      </c>
      <c r="D390" s="25" t="s">
        <v>535</v>
      </c>
      <c r="E390" s="25" t="s">
        <v>491</v>
      </c>
      <c r="F390" s="25" t="s">
        <v>487</v>
      </c>
      <c r="G390" s="26">
        <v>45409</v>
      </c>
      <c r="H390" s="26">
        <v>45481</v>
      </c>
      <c r="I390" s="26">
        <v>44999</v>
      </c>
      <c r="J390" s="27">
        <v>218</v>
      </c>
      <c r="K390" s="27">
        <v>7320.44</v>
      </c>
      <c r="L390" s="27">
        <v>1604.26</v>
      </c>
      <c r="M390" s="25" t="s">
        <v>484</v>
      </c>
      <c r="N390" s="25" t="s">
        <v>477</v>
      </c>
      <c r="O390" s="25" t="s">
        <v>474</v>
      </c>
      <c r="P390" s="28">
        <v>9</v>
      </c>
      <c r="Q390" s="23"/>
      <c r="R390" s="23"/>
      <c r="S390" s="23"/>
      <c r="T390" s="23"/>
      <c r="U390" s="23"/>
      <c r="V390" s="23"/>
    </row>
    <row r="391" spans="1:22" x14ac:dyDescent="0.3">
      <c r="A391" s="23"/>
      <c r="B391" s="24" t="s">
        <v>374</v>
      </c>
      <c r="C391" s="25" t="s">
        <v>495</v>
      </c>
      <c r="D391" s="25" t="s">
        <v>535</v>
      </c>
      <c r="E391" s="25" t="s">
        <v>492</v>
      </c>
      <c r="F391" s="25" t="s">
        <v>486</v>
      </c>
      <c r="G391" s="26">
        <v>45445</v>
      </c>
      <c r="H391" s="26">
        <v>45154</v>
      </c>
      <c r="I391" s="26">
        <v>45095</v>
      </c>
      <c r="J391" s="27">
        <v>62</v>
      </c>
      <c r="K391" s="27">
        <v>12310.72</v>
      </c>
      <c r="L391" s="27">
        <v>9014.56</v>
      </c>
      <c r="M391" s="25" t="s">
        <v>481</v>
      </c>
      <c r="N391" s="25" t="s">
        <v>479</v>
      </c>
      <c r="O391" s="25" t="s">
        <v>474</v>
      </c>
      <c r="P391" s="28">
        <v>0</v>
      </c>
      <c r="Q391" s="23"/>
      <c r="R391" s="23"/>
      <c r="S391" s="23"/>
      <c r="T391" s="23"/>
      <c r="U391" s="23"/>
      <c r="V391" s="23"/>
    </row>
    <row r="392" spans="1:22" x14ac:dyDescent="0.3">
      <c r="A392" s="23"/>
      <c r="B392" s="24" t="s">
        <v>375</v>
      </c>
      <c r="C392" s="25" t="s">
        <v>495</v>
      </c>
      <c r="D392" s="25" t="s">
        <v>536</v>
      </c>
      <c r="E392" s="25" t="s">
        <v>492</v>
      </c>
      <c r="F392" s="25" t="s">
        <v>485</v>
      </c>
      <c r="G392" s="26">
        <v>45081</v>
      </c>
      <c r="H392" s="26">
        <v>45606</v>
      </c>
      <c r="I392" s="26">
        <v>45419</v>
      </c>
      <c r="J392" s="27">
        <v>354</v>
      </c>
      <c r="K392" s="27">
        <v>42809.22</v>
      </c>
      <c r="L392" s="27">
        <v>7011.41</v>
      </c>
      <c r="M392" s="25" t="s">
        <v>483</v>
      </c>
      <c r="N392" s="25" t="s">
        <v>478</v>
      </c>
      <c r="O392" s="25" t="s">
        <v>475</v>
      </c>
      <c r="P392" s="28">
        <v>24</v>
      </c>
      <c r="Q392" s="23"/>
      <c r="R392" s="23"/>
      <c r="S392" s="23"/>
      <c r="T392" s="23"/>
      <c r="U392" s="23"/>
      <c r="V392" s="23"/>
    </row>
    <row r="393" spans="1:22" x14ac:dyDescent="0.3">
      <c r="A393" s="23"/>
      <c r="B393" s="24" t="s">
        <v>376</v>
      </c>
      <c r="C393" s="25" t="s">
        <v>494</v>
      </c>
      <c r="D393" s="25" t="s">
        <v>534</v>
      </c>
      <c r="E393" s="25" t="s">
        <v>492</v>
      </c>
      <c r="F393" s="25" t="s">
        <v>488</v>
      </c>
      <c r="G393" s="26">
        <v>45018</v>
      </c>
      <c r="H393" s="26">
        <v>45363</v>
      </c>
      <c r="I393" s="26">
        <v>45235</v>
      </c>
      <c r="J393" s="27">
        <v>297</v>
      </c>
      <c r="K393" s="27">
        <v>33762.959999999999</v>
      </c>
      <c r="L393" s="27">
        <v>3624.13</v>
      </c>
      <c r="M393" s="25" t="s">
        <v>484</v>
      </c>
      <c r="N393" s="25" t="s">
        <v>478</v>
      </c>
      <c r="O393" s="25" t="s">
        <v>476</v>
      </c>
      <c r="P393" s="28">
        <v>7</v>
      </c>
      <c r="Q393" s="23"/>
      <c r="R393" s="23"/>
      <c r="S393" s="23"/>
      <c r="T393" s="23"/>
      <c r="U393" s="23"/>
      <c r="V393" s="23"/>
    </row>
    <row r="394" spans="1:22" x14ac:dyDescent="0.3">
      <c r="A394" s="23"/>
      <c r="B394" s="24" t="s">
        <v>377</v>
      </c>
      <c r="C394" s="25" t="s">
        <v>493</v>
      </c>
      <c r="D394" s="25" t="s">
        <v>535</v>
      </c>
      <c r="E394" s="25" t="s">
        <v>491</v>
      </c>
      <c r="F394" s="25" t="s">
        <v>485</v>
      </c>
      <c r="G394" s="26">
        <v>45452</v>
      </c>
      <c r="H394" s="26">
        <v>45528</v>
      </c>
      <c r="I394" s="26">
        <v>45604</v>
      </c>
      <c r="J394" s="27">
        <v>329</v>
      </c>
      <c r="K394" s="27">
        <v>157962.76999999999</v>
      </c>
      <c r="L394" s="27">
        <v>2633.72</v>
      </c>
      <c r="M394" s="25" t="s">
        <v>484</v>
      </c>
      <c r="N394" s="25" t="s">
        <v>478</v>
      </c>
      <c r="O394" s="25" t="s">
        <v>475</v>
      </c>
      <c r="P394" s="28">
        <v>21</v>
      </c>
      <c r="Q394" s="23"/>
      <c r="R394" s="23"/>
      <c r="S394" s="23"/>
      <c r="T394" s="23"/>
      <c r="U394" s="23"/>
      <c r="V394" s="23"/>
    </row>
    <row r="395" spans="1:22" x14ac:dyDescent="0.3">
      <c r="A395" s="23"/>
      <c r="B395" s="24" t="s">
        <v>378</v>
      </c>
      <c r="C395" s="25" t="s">
        <v>494</v>
      </c>
      <c r="D395" s="25" t="s">
        <v>535</v>
      </c>
      <c r="E395" s="25" t="s">
        <v>492</v>
      </c>
      <c r="F395" s="25" t="s">
        <v>485</v>
      </c>
      <c r="G395" s="26">
        <v>45381</v>
      </c>
      <c r="H395" s="26">
        <v>45306</v>
      </c>
      <c r="I395" s="26">
        <v>45295</v>
      </c>
      <c r="J395" s="27">
        <v>519</v>
      </c>
      <c r="K395" s="27">
        <v>160926.32999999999</v>
      </c>
      <c r="L395" s="27">
        <v>5948.76</v>
      </c>
      <c r="M395" s="25" t="s">
        <v>482</v>
      </c>
      <c r="N395" s="25" t="s">
        <v>480</v>
      </c>
      <c r="O395" s="25" t="s">
        <v>475</v>
      </c>
      <c r="P395" s="28">
        <v>15</v>
      </c>
      <c r="Q395" s="23"/>
      <c r="R395" s="23"/>
      <c r="S395" s="23"/>
      <c r="T395" s="23"/>
      <c r="U395" s="23"/>
      <c r="V395" s="23"/>
    </row>
    <row r="396" spans="1:22" x14ac:dyDescent="0.3">
      <c r="A396" s="23"/>
      <c r="B396" s="24" t="s">
        <v>379</v>
      </c>
      <c r="C396" s="25" t="s">
        <v>496</v>
      </c>
      <c r="D396" s="25" t="s">
        <v>536</v>
      </c>
      <c r="E396" s="25" t="s">
        <v>490</v>
      </c>
      <c r="F396" s="25" t="s">
        <v>488</v>
      </c>
      <c r="G396" s="26">
        <v>45571</v>
      </c>
      <c r="H396" s="26">
        <v>45354</v>
      </c>
      <c r="I396" s="26">
        <v>45273</v>
      </c>
      <c r="J396" s="27">
        <v>535</v>
      </c>
      <c r="K396" s="27">
        <v>112783.35</v>
      </c>
      <c r="L396" s="27">
        <v>4262.18</v>
      </c>
      <c r="M396" s="25" t="s">
        <v>484</v>
      </c>
      <c r="N396" s="25" t="s">
        <v>478</v>
      </c>
      <c r="O396" s="25" t="s">
        <v>475</v>
      </c>
      <c r="P396" s="28">
        <v>12</v>
      </c>
      <c r="Q396" s="23"/>
      <c r="R396" s="23"/>
      <c r="S396" s="23"/>
      <c r="T396" s="23"/>
      <c r="U396" s="23"/>
      <c r="V396" s="23"/>
    </row>
    <row r="397" spans="1:22" x14ac:dyDescent="0.3">
      <c r="A397" s="23"/>
      <c r="B397" s="24" t="s">
        <v>380</v>
      </c>
      <c r="C397" s="25" t="s">
        <v>495</v>
      </c>
      <c r="D397" s="25" t="s">
        <v>536</v>
      </c>
      <c r="E397" s="25" t="s">
        <v>490</v>
      </c>
      <c r="F397" s="25" t="s">
        <v>486</v>
      </c>
      <c r="G397" s="26">
        <v>45436</v>
      </c>
      <c r="H397" s="26">
        <v>45636</v>
      </c>
      <c r="I397" s="26">
        <v>45484</v>
      </c>
      <c r="J397" s="27">
        <v>238</v>
      </c>
      <c r="K397" s="27">
        <v>51724.54</v>
      </c>
      <c r="L397" s="27">
        <v>4366.75</v>
      </c>
      <c r="M397" s="25" t="s">
        <v>482</v>
      </c>
      <c r="N397" s="25" t="s">
        <v>479</v>
      </c>
      <c r="O397" s="25" t="s">
        <v>475</v>
      </c>
      <c r="P397" s="28">
        <v>2</v>
      </c>
      <c r="Q397" s="23"/>
      <c r="R397" s="23"/>
      <c r="S397" s="23"/>
      <c r="T397" s="23"/>
      <c r="U397" s="23"/>
      <c r="V397" s="23"/>
    </row>
    <row r="398" spans="1:22" x14ac:dyDescent="0.3">
      <c r="A398" s="23"/>
      <c r="B398" s="24" t="s">
        <v>381</v>
      </c>
      <c r="C398" s="25" t="s">
        <v>493</v>
      </c>
      <c r="D398" s="25" t="s">
        <v>535</v>
      </c>
      <c r="E398" s="25" t="s">
        <v>490</v>
      </c>
      <c r="F398" s="25" t="s">
        <v>488</v>
      </c>
      <c r="G398" s="26">
        <v>45109</v>
      </c>
      <c r="H398" s="26">
        <v>45234</v>
      </c>
      <c r="I398" s="26">
        <v>45284</v>
      </c>
      <c r="J398" s="27">
        <v>117</v>
      </c>
      <c r="K398" s="27">
        <v>31911.75</v>
      </c>
      <c r="L398" s="27">
        <v>1648.76</v>
      </c>
      <c r="M398" s="25" t="s">
        <v>481</v>
      </c>
      <c r="N398" s="25" t="s">
        <v>480</v>
      </c>
      <c r="O398" s="25" t="s">
        <v>476</v>
      </c>
      <c r="P398" s="28">
        <v>2</v>
      </c>
      <c r="Q398" s="23"/>
      <c r="R398" s="23"/>
      <c r="S398" s="23"/>
      <c r="T398" s="23"/>
      <c r="U398" s="23"/>
      <c r="V398" s="23"/>
    </row>
    <row r="399" spans="1:22" x14ac:dyDescent="0.3">
      <c r="A399" s="23"/>
      <c r="B399" s="24" t="s">
        <v>382</v>
      </c>
      <c r="C399" s="25" t="s">
        <v>495</v>
      </c>
      <c r="D399" s="25" t="s">
        <v>535</v>
      </c>
      <c r="E399" s="25" t="s">
        <v>490</v>
      </c>
      <c r="F399" s="25" t="s">
        <v>487</v>
      </c>
      <c r="G399" s="26">
        <v>45312</v>
      </c>
      <c r="H399" s="26">
        <v>45431</v>
      </c>
      <c r="I399" s="26">
        <v>45346</v>
      </c>
      <c r="J399" s="27">
        <v>122</v>
      </c>
      <c r="K399" s="27">
        <v>42667.060000000005</v>
      </c>
      <c r="L399" s="27">
        <v>9382.75</v>
      </c>
      <c r="M399" s="25" t="s">
        <v>482</v>
      </c>
      <c r="N399" s="25" t="s">
        <v>480</v>
      </c>
      <c r="O399" s="25" t="s">
        <v>475</v>
      </c>
      <c r="P399" s="28">
        <v>23</v>
      </c>
      <c r="Q399" s="23"/>
      <c r="R399" s="23"/>
      <c r="S399" s="23"/>
      <c r="T399" s="23"/>
      <c r="U399" s="23"/>
      <c r="V399" s="23"/>
    </row>
    <row r="400" spans="1:22" x14ac:dyDescent="0.3">
      <c r="A400" s="23"/>
      <c r="B400" s="24" t="s">
        <v>383</v>
      </c>
      <c r="C400" s="25" t="s">
        <v>496</v>
      </c>
      <c r="D400" s="25" t="s">
        <v>534</v>
      </c>
      <c r="E400" s="25" t="s">
        <v>490</v>
      </c>
      <c r="F400" s="25" t="s">
        <v>487</v>
      </c>
      <c r="G400" s="26">
        <v>45500</v>
      </c>
      <c r="H400" s="26">
        <v>45195</v>
      </c>
      <c r="I400" s="26">
        <v>45039</v>
      </c>
      <c r="J400" s="27">
        <v>544</v>
      </c>
      <c r="K400" s="27">
        <v>191792.64000000001</v>
      </c>
      <c r="L400" s="27">
        <v>8183.21</v>
      </c>
      <c r="M400" s="25" t="s">
        <v>484</v>
      </c>
      <c r="N400" s="25" t="s">
        <v>480</v>
      </c>
      <c r="O400" s="25" t="s">
        <v>476</v>
      </c>
      <c r="P400" s="28">
        <v>4</v>
      </c>
      <c r="Q400" s="23"/>
      <c r="R400" s="23"/>
      <c r="S400" s="23"/>
      <c r="T400" s="23"/>
      <c r="U400" s="23"/>
      <c r="V400" s="23"/>
    </row>
    <row r="401" spans="1:22" x14ac:dyDescent="0.3">
      <c r="A401" s="23"/>
      <c r="B401" s="24" t="s">
        <v>384</v>
      </c>
      <c r="C401" s="25" t="s">
        <v>495</v>
      </c>
      <c r="D401" s="25" t="s">
        <v>536</v>
      </c>
      <c r="E401" s="25" t="s">
        <v>490</v>
      </c>
      <c r="F401" s="25" t="s">
        <v>486</v>
      </c>
      <c r="G401" s="26">
        <v>45657</v>
      </c>
      <c r="H401" s="26">
        <v>45513</v>
      </c>
      <c r="I401" s="26">
        <v>45493</v>
      </c>
      <c r="J401" s="27">
        <v>101</v>
      </c>
      <c r="K401" s="27">
        <v>9088.99</v>
      </c>
      <c r="L401" s="27">
        <v>4409.88</v>
      </c>
      <c r="M401" s="25" t="s">
        <v>484</v>
      </c>
      <c r="N401" s="25" t="s">
        <v>477</v>
      </c>
      <c r="O401" s="25" t="s">
        <v>475</v>
      </c>
      <c r="P401" s="28">
        <v>25</v>
      </c>
      <c r="Q401" s="23"/>
      <c r="R401" s="23"/>
      <c r="S401" s="23"/>
      <c r="T401" s="23"/>
      <c r="U401" s="23"/>
      <c r="V401" s="23"/>
    </row>
    <row r="402" spans="1:22" x14ac:dyDescent="0.3">
      <c r="A402" s="23"/>
      <c r="B402" s="24" t="s">
        <v>385</v>
      </c>
      <c r="C402" s="25" t="s">
        <v>495</v>
      </c>
      <c r="D402" s="25" t="s">
        <v>535</v>
      </c>
      <c r="E402" s="25" t="s">
        <v>490</v>
      </c>
      <c r="F402" s="25" t="s">
        <v>486</v>
      </c>
      <c r="G402" s="26">
        <v>45331</v>
      </c>
      <c r="H402" s="26">
        <v>44935</v>
      </c>
      <c r="I402" s="26">
        <v>45427</v>
      </c>
      <c r="J402" s="27">
        <v>498</v>
      </c>
      <c r="K402" s="27">
        <v>125774.88</v>
      </c>
      <c r="L402" s="27">
        <v>6256.24</v>
      </c>
      <c r="M402" s="25" t="s">
        <v>481</v>
      </c>
      <c r="N402" s="25" t="s">
        <v>477</v>
      </c>
      <c r="O402" s="25" t="s">
        <v>475</v>
      </c>
      <c r="P402" s="28">
        <v>10</v>
      </c>
      <c r="Q402" s="23"/>
      <c r="R402" s="23"/>
      <c r="S402" s="23"/>
      <c r="T402" s="23"/>
      <c r="U402" s="23"/>
      <c r="V402" s="23"/>
    </row>
    <row r="403" spans="1:22" x14ac:dyDescent="0.3">
      <c r="A403" s="23"/>
      <c r="B403" s="24" t="s">
        <v>386</v>
      </c>
      <c r="C403" s="25" t="s">
        <v>495</v>
      </c>
      <c r="D403" s="25" t="s">
        <v>535</v>
      </c>
      <c r="E403" s="25" t="s">
        <v>490</v>
      </c>
      <c r="F403" s="25" t="s">
        <v>486</v>
      </c>
      <c r="G403" s="26">
        <v>45172</v>
      </c>
      <c r="H403" s="26">
        <v>45435</v>
      </c>
      <c r="I403" s="26">
        <v>45271</v>
      </c>
      <c r="J403" s="27">
        <v>201</v>
      </c>
      <c r="K403" s="27">
        <v>41992.92</v>
      </c>
      <c r="L403" s="27">
        <v>4676.84</v>
      </c>
      <c r="M403" s="25" t="s">
        <v>482</v>
      </c>
      <c r="N403" s="25" t="s">
        <v>480</v>
      </c>
      <c r="O403" s="25" t="s">
        <v>475</v>
      </c>
      <c r="P403" s="28">
        <v>29</v>
      </c>
      <c r="Q403" s="23"/>
      <c r="R403" s="23"/>
      <c r="S403" s="23"/>
      <c r="T403" s="23"/>
      <c r="U403" s="23"/>
      <c r="V403" s="23"/>
    </row>
    <row r="404" spans="1:22" x14ac:dyDescent="0.3">
      <c r="A404" s="23"/>
      <c r="B404" s="24" t="s">
        <v>387</v>
      </c>
      <c r="C404" s="25" t="s">
        <v>496</v>
      </c>
      <c r="D404" s="25" t="s">
        <v>535</v>
      </c>
      <c r="E404" s="25" t="s">
        <v>490</v>
      </c>
      <c r="F404" s="25" t="s">
        <v>487</v>
      </c>
      <c r="G404" s="26">
        <v>45517</v>
      </c>
      <c r="H404" s="26">
        <v>45403</v>
      </c>
      <c r="I404" s="26">
        <v>45313</v>
      </c>
      <c r="J404" s="27">
        <v>279</v>
      </c>
      <c r="K404" s="27">
        <v>121618.89000000001</v>
      </c>
      <c r="L404" s="27">
        <v>3705.54</v>
      </c>
      <c r="M404" s="25" t="s">
        <v>482</v>
      </c>
      <c r="N404" s="25" t="s">
        <v>477</v>
      </c>
      <c r="O404" s="25" t="s">
        <v>476</v>
      </c>
      <c r="P404" s="28">
        <v>6</v>
      </c>
      <c r="Q404" s="23"/>
      <c r="R404" s="23"/>
      <c r="S404" s="23"/>
      <c r="T404" s="23"/>
      <c r="U404" s="23"/>
      <c r="V404" s="23"/>
    </row>
    <row r="405" spans="1:22" x14ac:dyDescent="0.3">
      <c r="A405" s="23"/>
      <c r="B405" s="24" t="s">
        <v>388</v>
      </c>
      <c r="C405" s="25" t="s">
        <v>496</v>
      </c>
      <c r="D405" s="25" t="s">
        <v>536</v>
      </c>
      <c r="E405" s="25" t="s">
        <v>491</v>
      </c>
      <c r="F405" s="25" t="s">
        <v>485</v>
      </c>
      <c r="G405" s="26">
        <v>45587</v>
      </c>
      <c r="H405" s="26">
        <v>45224</v>
      </c>
      <c r="I405" s="26">
        <v>45463</v>
      </c>
      <c r="J405" s="27">
        <v>449</v>
      </c>
      <c r="K405" s="27">
        <v>142579.95000000001</v>
      </c>
      <c r="L405" s="27">
        <v>5989.26</v>
      </c>
      <c r="M405" s="25" t="s">
        <v>481</v>
      </c>
      <c r="N405" s="25" t="s">
        <v>477</v>
      </c>
      <c r="O405" s="25" t="s">
        <v>476</v>
      </c>
      <c r="P405" s="28">
        <v>20</v>
      </c>
      <c r="Q405" s="23"/>
      <c r="R405" s="23"/>
      <c r="S405" s="23"/>
      <c r="T405" s="23"/>
      <c r="U405" s="23"/>
      <c r="V405" s="23"/>
    </row>
    <row r="406" spans="1:22" x14ac:dyDescent="0.3">
      <c r="A406" s="23"/>
      <c r="B406" s="24" t="s">
        <v>389</v>
      </c>
      <c r="C406" s="25" t="s">
        <v>495</v>
      </c>
      <c r="D406" s="25" t="s">
        <v>536</v>
      </c>
      <c r="E406" s="25" t="s">
        <v>490</v>
      </c>
      <c r="F406" s="25" t="s">
        <v>487</v>
      </c>
      <c r="G406" s="26">
        <v>45576</v>
      </c>
      <c r="H406" s="26">
        <v>45091</v>
      </c>
      <c r="I406" s="26">
        <v>45230</v>
      </c>
      <c r="J406" s="27">
        <v>466</v>
      </c>
      <c r="K406" s="27">
        <v>125162.93999999999</v>
      </c>
      <c r="L406" s="27">
        <v>8178.89</v>
      </c>
      <c r="M406" s="25" t="s">
        <v>482</v>
      </c>
      <c r="N406" s="25" t="s">
        <v>478</v>
      </c>
      <c r="O406" s="25" t="s">
        <v>475</v>
      </c>
      <c r="P406" s="28">
        <v>23</v>
      </c>
      <c r="Q406" s="23"/>
      <c r="R406" s="23"/>
      <c r="S406" s="23"/>
      <c r="T406" s="23"/>
      <c r="U406" s="23"/>
      <c r="V406" s="23"/>
    </row>
    <row r="407" spans="1:22" x14ac:dyDescent="0.3">
      <c r="A407" s="23"/>
      <c r="B407" s="24" t="s">
        <v>390</v>
      </c>
      <c r="C407" s="25" t="s">
        <v>495</v>
      </c>
      <c r="D407" s="25" t="s">
        <v>534</v>
      </c>
      <c r="E407" s="25" t="s">
        <v>490</v>
      </c>
      <c r="F407" s="25" t="s">
        <v>486</v>
      </c>
      <c r="G407" s="26">
        <v>45397</v>
      </c>
      <c r="H407" s="26">
        <v>45412</v>
      </c>
      <c r="I407" s="26">
        <v>45069</v>
      </c>
      <c r="J407" s="27">
        <v>392</v>
      </c>
      <c r="K407" s="27">
        <v>24351.039999999997</v>
      </c>
      <c r="L407" s="27">
        <v>9335.39</v>
      </c>
      <c r="M407" s="25" t="s">
        <v>481</v>
      </c>
      <c r="N407" s="25" t="s">
        <v>477</v>
      </c>
      <c r="O407" s="25" t="s">
        <v>476</v>
      </c>
      <c r="P407" s="28">
        <v>9</v>
      </c>
      <c r="Q407" s="23"/>
      <c r="R407" s="23"/>
      <c r="S407" s="23"/>
      <c r="T407" s="23"/>
      <c r="U407" s="23"/>
      <c r="V407" s="23"/>
    </row>
    <row r="408" spans="1:22" x14ac:dyDescent="0.3">
      <c r="A408" s="23"/>
      <c r="B408" s="24" t="s">
        <v>391</v>
      </c>
      <c r="C408" s="25" t="s">
        <v>494</v>
      </c>
      <c r="D408" s="25" t="s">
        <v>534</v>
      </c>
      <c r="E408" s="25" t="s">
        <v>490</v>
      </c>
      <c r="F408" s="25" t="s">
        <v>486</v>
      </c>
      <c r="G408" s="26">
        <v>45349</v>
      </c>
      <c r="H408" s="26">
        <v>45524</v>
      </c>
      <c r="I408" s="26">
        <v>45289</v>
      </c>
      <c r="J408" s="27">
        <v>249</v>
      </c>
      <c r="K408" s="27">
        <v>75892.710000000006</v>
      </c>
      <c r="L408" s="27">
        <v>1834.59</v>
      </c>
      <c r="M408" s="25" t="s">
        <v>483</v>
      </c>
      <c r="N408" s="25" t="s">
        <v>480</v>
      </c>
      <c r="O408" s="25" t="s">
        <v>475</v>
      </c>
      <c r="P408" s="28">
        <v>9</v>
      </c>
      <c r="Q408" s="23"/>
      <c r="R408" s="23"/>
      <c r="S408" s="23"/>
      <c r="T408" s="23"/>
      <c r="U408" s="23"/>
      <c r="V408" s="23"/>
    </row>
    <row r="409" spans="1:22" x14ac:dyDescent="0.3">
      <c r="A409" s="23"/>
      <c r="B409" s="24" t="s">
        <v>392</v>
      </c>
      <c r="C409" s="25" t="s">
        <v>496</v>
      </c>
      <c r="D409" s="25" t="s">
        <v>534</v>
      </c>
      <c r="E409" s="25" t="s">
        <v>490</v>
      </c>
      <c r="F409" s="25" t="s">
        <v>486</v>
      </c>
      <c r="G409" s="26">
        <v>44991</v>
      </c>
      <c r="H409" s="26">
        <v>44999</v>
      </c>
      <c r="I409" s="26">
        <v>45429</v>
      </c>
      <c r="J409" s="27">
        <v>434</v>
      </c>
      <c r="K409" s="27">
        <v>27350.68</v>
      </c>
      <c r="L409" s="27">
        <v>5028.58</v>
      </c>
      <c r="M409" s="25" t="s">
        <v>484</v>
      </c>
      <c r="N409" s="25" t="s">
        <v>480</v>
      </c>
      <c r="O409" s="25" t="s">
        <v>474</v>
      </c>
      <c r="P409" s="28">
        <v>19</v>
      </c>
      <c r="Q409" s="23"/>
      <c r="R409" s="23"/>
      <c r="S409" s="23"/>
      <c r="T409" s="23"/>
      <c r="U409" s="23"/>
      <c r="V409" s="23"/>
    </row>
    <row r="410" spans="1:22" x14ac:dyDescent="0.3">
      <c r="A410" s="23"/>
      <c r="B410" s="24" t="s">
        <v>393</v>
      </c>
      <c r="C410" s="25" t="s">
        <v>495</v>
      </c>
      <c r="D410" s="25" t="s">
        <v>534</v>
      </c>
      <c r="E410" s="25" t="s">
        <v>490</v>
      </c>
      <c r="F410" s="25" t="s">
        <v>487</v>
      </c>
      <c r="G410" s="26">
        <v>44939</v>
      </c>
      <c r="H410" s="26">
        <v>45494</v>
      </c>
      <c r="I410" s="26">
        <v>45315</v>
      </c>
      <c r="J410" s="27">
        <v>467</v>
      </c>
      <c r="K410" s="27">
        <v>80286.64</v>
      </c>
      <c r="L410" s="27">
        <v>2332.19</v>
      </c>
      <c r="M410" s="25" t="s">
        <v>483</v>
      </c>
      <c r="N410" s="25" t="s">
        <v>479</v>
      </c>
      <c r="O410" s="25" t="s">
        <v>476</v>
      </c>
      <c r="P410" s="28">
        <v>1</v>
      </c>
      <c r="Q410" s="23"/>
      <c r="R410" s="23"/>
      <c r="S410" s="23"/>
      <c r="T410" s="23"/>
      <c r="U410" s="23"/>
      <c r="V410" s="23"/>
    </row>
    <row r="411" spans="1:22" x14ac:dyDescent="0.3">
      <c r="A411" s="23"/>
      <c r="B411" s="24" t="s">
        <v>394</v>
      </c>
      <c r="C411" s="25" t="s">
        <v>495</v>
      </c>
      <c r="D411" s="25" t="s">
        <v>535</v>
      </c>
      <c r="E411" s="25" t="s">
        <v>492</v>
      </c>
      <c r="F411" s="25" t="s">
        <v>487</v>
      </c>
      <c r="G411" s="26">
        <v>45139</v>
      </c>
      <c r="H411" s="26">
        <v>45486</v>
      </c>
      <c r="I411" s="26">
        <v>45534</v>
      </c>
      <c r="J411" s="27">
        <v>497</v>
      </c>
      <c r="K411" s="27">
        <v>37627.869999999995</v>
      </c>
      <c r="L411" s="27">
        <v>4707.29</v>
      </c>
      <c r="M411" s="25" t="s">
        <v>481</v>
      </c>
      <c r="N411" s="25" t="s">
        <v>480</v>
      </c>
      <c r="O411" s="25" t="s">
        <v>474</v>
      </c>
      <c r="P411" s="28">
        <v>2</v>
      </c>
      <c r="Q411" s="23"/>
      <c r="R411" s="23"/>
      <c r="S411" s="23"/>
      <c r="T411" s="23"/>
      <c r="U411" s="23"/>
      <c r="V411" s="23"/>
    </row>
    <row r="412" spans="1:22" x14ac:dyDescent="0.3">
      <c r="A412" s="23"/>
      <c r="B412" s="24" t="s">
        <v>395</v>
      </c>
      <c r="C412" s="25" t="s">
        <v>493</v>
      </c>
      <c r="D412" s="25" t="s">
        <v>535</v>
      </c>
      <c r="E412" s="25" t="s">
        <v>492</v>
      </c>
      <c r="F412" s="25" t="s">
        <v>486</v>
      </c>
      <c r="G412" s="26">
        <v>45168</v>
      </c>
      <c r="H412" s="26">
        <v>45165</v>
      </c>
      <c r="I412" s="26">
        <v>45210</v>
      </c>
      <c r="J412" s="27">
        <v>320</v>
      </c>
      <c r="K412" s="27">
        <v>111225.59999999999</v>
      </c>
      <c r="L412" s="27">
        <v>1766.61</v>
      </c>
      <c r="M412" s="25" t="s">
        <v>481</v>
      </c>
      <c r="N412" s="25" t="s">
        <v>477</v>
      </c>
      <c r="O412" s="25" t="s">
        <v>476</v>
      </c>
      <c r="P412" s="28">
        <v>7</v>
      </c>
      <c r="Q412" s="23"/>
      <c r="R412" s="23"/>
      <c r="S412" s="23"/>
      <c r="T412" s="23"/>
      <c r="U412" s="23"/>
      <c r="V412" s="23"/>
    </row>
    <row r="413" spans="1:22" x14ac:dyDescent="0.3">
      <c r="A413" s="23"/>
      <c r="B413" s="24" t="s">
        <v>396</v>
      </c>
      <c r="C413" s="25" t="s">
        <v>494</v>
      </c>
      <c r="D413" s="25" t="s">
        <v>535</v>
      </c>
      <c r="E413" s="25" t="s">
        <v>490</v>
      </c>
      <c r="F413" s="25" t="s">
        <v>486</v>
      </c>
      <c r="G413" s="26">
        <v>45139</v>
      </c>
      <c r="H413" s="26">
        <v>45137</v>
      </c>
      <c r="I413" s="26">
        <v>45413</v>
      </c>
      <c r="J413" s="27">
        <v>207</v>
      </c>
      <c r="K413" s="27">
        <v>41186.79</v>
      </c>
      <c r="L413" s="27">
        <v>8024.39</v>
      </c>
      <c r="M413" s="25" t="s">
        <v>481</v>
      </c>
      <c r="N413" s="25" t="s">
        <v>480</v>
      </c>
      <c r="O413" s="25" t="s">
        <v>475</v>
      </c>
      <c r="P413" s="28">
        <v>10</v>
      </c>
      <c r="Q413" s="23"/>
      <c r="R413" s="23"/>
      <c r="S413" s="23"/>
      <c r="T413" s="23"/>
      <c r="U413" s="23"/>
      <c r="V413" s="23"/>
    </row>
    <row r="414" spans="1:22" x14ac:dyDescent="0.3">
      <c r="A414" s="23"/>
      <c r="B414" s="24" t="s">
        <v>397</v>
      </c>
      <c r="C414" s="25" t="s">
        <v>495</v>
      </c>
      <c r="D414" s="25" t="s">
        <v>535</v>
      </c>
      <c r="E414" s="25" t="s">
        <v>491</v>
      </c>
      <c r="F414" s="25" t="s">
        <v>486</v>
      </c>
      <c r="G414" s="26">
        <v>45619</v>
      </c>
      <c r="H414" s="26">
        <v>45481</v>
      </c>
      <c r="I414" s="26">
        <v>45041</v>
      </c>
      <c r="J414" s="27">
        <v>324</v>
      </c>
      <c r="K414" s="27">
        <v>145268.64000000001</v>
      </c>
      <c r="L414" s="27">
        <v>240.49</v>
      </c>
      <c r="M414" s="25" t="s">
        <v>482</v>
      </c>
      <c r="N414" s="25" t="s">
        <v>478</v>
      </c>
      <c r="O414" s="25" t="s">
        <v>475</v>
      </c>
      <c r="P414" s="28">
        <v>12</v>
      </c>
      <c r="Q414" s="23"/>
      <c r="R414" s="23"/>
      <c r="S414" s="23"/>
      <c r="T414" s="23"/>
      <c r="U414" s="23"/>
      <c r="V414" s="23"/>
    </row>
    <row r="415" spans="1:22" x14ac:dyDescent="0.3">
      <c r="A415" s="23"/>
      <c r="B415" s="24" t="s">
        <v>398</v>
      </c>
      <c r="C415" s="25" t="s">
        <v>495</v>
      </c>
      <c r="D415" s="25" t="s">
        <v>534</v>
      </c>
      <c r="E415" s="25" t="s">
        <v>491</v>
      </c>
      <c r="F415" s="25" t="s">
        <v>487</v>
      </c>
      <c r="G415" s="26">
        <v>45264</v>
      </c>
      <c r="H415" s="26">
        <v>45395</v>
      </c>
      <c r="I415" s="26">
        <v>45069</v>
      </c>
      <c r="J415" s="27">
        <v>523</v>
      </c>
      <c r="K415" s="27">
        <v>55511.22</v>
      </c>
      <c r="L415" s="27">
        <v>6342.29</v>
      </c>
      <c r="M415" s="25" t="s">
        <v>483</v>
      </c>
      <c r="N415" s="25" t="s">
        <v>478</v>
      </c>
      <c r="O415" s="25" t="s">
        <v>475</v>
      </c>
      <c r="P415" s="28">
        <v>6</v>
      </c>
      <c r="Q415" s="23"/>
      <c r="R415" s="23"/>
      <c r="S415" s="23"/>
      <c r="T415" s="23"/>
      <c r="U415" s="23"/>
      <c r="V415" s="23"/>
    </row>
    <row r="416" spans="1:22" x14ac:dyDescent="0.3">
      <c r="A416" s="23"/>
      <c r="B416" s="24" t="s">
        <v>399</v>
      </c>
      <c r="C416" s="25" t="s">
        <v>494</v>
      </c>
      <c r="D416" s="25" t="s">
        <v>535</v>
      </c>
      <c r="E416" s="25" t="s">
        <v>490</v>
      </c>
      <c r="F416" s="25" t="s">
        <v>486</v>
      </c>
      <c r="G416" s="26">
        <v>45099</v>
      </c>
      <c r="H416" s="26">
        <v>45381</v>
      </c>
      <c r="I416" s="26">
        <v>45365</v>
      </c>
      <c r="J416" s="27">
        <v>429</v>
      </c>
      <c r="K416" s="27">
        <v>109978.44</v>
      </c>
      <c r="L416" s="27">
        <v>7936.32</v>
      </c>
      <c r="M416" s="25" t="s">
        <v>483</v>
      </c>
      <c r="N416" s="25" t="s">
        <v>479</v>
      </c>
      <c r="O416" s="25" t="s">
        <v>476</v>
      </c>
      <c r="P416" s="28">
        <v>12</v>
      </c>
      <c r="Q416" s="23"/>
      <c r="R416" s="23"/>
      <c r="S416" s="23"/>
      <c r="T416" s="23"/>
      <c r="U416" s="23"/>
      <c r="V416" s="23"/>
    </row>
    <row r="417" spans="1:22" x14ac:dyDescent="0.3">
      <c r="A417" s="23"/>
      <c r="B417" s="24" t="s">
        <v>400</v>
      </c>
      <c r="C417" s="25" t="s">
        <v>494</v>
      </c>
      <c r="D417" s="25" t="s">
        <v>534</v>
      </c>
      <c r="E417" s="25" t="s">
        <v>490</v>
      </c>
      <c r="F417" s="25" t="s">
        <v>486</v>
      </c>
      <c r="G417" s="26">
        <v>45598</v>
      </c>
      <c r="H417" s="26">
        <v>45195</v>
      </c>
      <c r="I417" s="26">
        <v>45439</v>
      </c>
      <c r="J417" s="27">
        <v>593</v>
      </c>
      <c r="K417" s="27">
        <v>126036.22</v>
      </c>
      <c r="L417" s="27">
        <v>8851.64</v>
      </c>
      <c r="M417" s="25" t="s">
        <v>483</v>
      </c>
      <c r="N417" s="25" t="s">
        <v>480</v>
      </c>
      <c r="O417" s="25" t="s">
        <v>475</v>
      </c>
      <c r="P417" s="28">
        <v>1</v>
      </c>
      <c r="Q417" s="23"/>
      <c r="R417" s="23"/>
      <c r="S417" s="23"/>
      <c r="T417" s="23"/>
      <c r="U417" s="23"/>
      <c r="V417" s="23"/>
    </row>
    <row r="418" spans="1:22" x14ac:dyDescent="0.3">
      <c r="A418" s="23"/>
      <c r="B418" s="24" t="s">
        <v>401</v>
      </c>
      <c r="C418" s="25" t="s">
        <v>494</v>
      </c>
      <c r="D418" s="25" t="s">
        <v>534</v>
      </c>
      <c r="E418" s="25" t="s">
        <v>490</v>
      </c>
      <c r="F418" s="25" t="s">
        <v>486</v>
      </c>
      <c r="G418" s="26">
        <v>45090</v>
      </c>
      <c r="H418" s="26">
        <v>45313</v>
      </c>
      <c r="I418" s="26">
        <v>45203</v>
      </c>
      <c r="J418" s="27">
        <v>60</v>
      </c>
      <c r="K418" s="27">
        <v>838.2</v>
      </c>
      <c r="L418" s="27">
        <v>5403.33</v>
      </c>
      <c r="M418" s="25" t="s">
        <v>483</v>
      </c>
      <c r="N418" s="25" t="s">
        <v>477</v>
      </c>
      <c r="O418" s="25" t="s">
        <v>475</v>
      </c>
      <c r="P418" s="28">
        <v>5</v>
      </c>
      <c r="Q418" s="23"/>
      <c r="R418" s="23"/>
      <c r="S418" s="23"/>
      <c r="T418" s="23"/>
      <c r="U418" s="23"/>
      <c r="V418" s="23"/>
    </row>
    <row r="419" spans="1:22" x14ac:dyDescent="0.3">
      <c r="A419" s="23"/>
      <c r="B419" s="24" t="s">
        <v>402</v>
      </c>
      <c r="C419" s="25" t="s">
        <v>494</v>
      </c>
      <c r="D419" s="25" t="s">
        <v>534</v>
      </c>
      <c r="E419" s="25" t="s">
        <v>490</v>
      </c>
      <c r="F419" s="25" t="s">
        <v>487</v>
      </c>
      <c r="G419" s="26">
        <v>45391</v>
      </c>
      <c r="H419" s="26">
        <v>45314</v>
      </c>
      <c r="I419" s="26">
        <v>45029</v>
      </c>
      <c r="J419" s="27">
        <v>438</v>
      </c>
      <c r="K419" s="27">
        <v>174069.96000000002</v>
      </c>
      <c r="L419" s="27">
        <v>8183.21</v>
      </c>
      <c r="M419" s="25" t="s">
        <v>483</v>
      </c>
      <c r="N419" s="25" t="s">
        <v>478</v>
      </c>
      <c r="O419" s="25" t="s">
        <v>476</v>
      </c>
      <c r="P419" s="28">
        <v>8</v>
      </c>
      <c r="Q419" s="23"/>
      <c r="R419" s="23"/>
      <c r="S419" s="23"/>
      <c r="T419" s="23"/>
      <c r="U419" s="23"/>
      <c r="V419" s="23"/>
    </row>
    <row r="420" spans="1:22" x14ac:dyDescent="0.3">
      <c r="A420" s="23"/>
      <c r="B420" s="24" t="s">
        <v>403</v>
      </c>
      <c r="C420" s="25" t="s">
        <v>495</v>
      </c>
      <c r="D420" s="25" t="s">
        <v>536</v>
      </c>
      <c r="E420" s="25" t="s">
        <v>490</v>
      </c>
      <c r="F420" s="25" t="s">
        <v>487</v>
      </c>
      <c r="G420" s="26">
        <v>45321</v>
      </c>
      <c r="H420" s="26">
        <v>45553</v>
      </c>
      <c r="I420" s="26">
        <v>45594</v>
      </c>
      <c r="J420" s="27">
        <v>468</v>
      </c>
      <c r="K420" s="27">
        <v>132228.72</v>
      </c>
      <c r="L420" s="27">
        <v>1715.2</v>
      </c>
      <c r="M420" s="25" t="s">
        <v>483</v>
      </c>
      <c r="N420" s="25" t="s">
        <v>477</v>
      </c>
      <c r="O420" s="25" t="s">
        <v>475</v>
      </c>
      <c r="P420" s="28">
        <v>19</v>
      </c>
      <c r="Q420" s="23"/>
      <c r="R420" s="23"/>
      <c r="S420" s="23"/>
      <c r="T420" s="23"/>
      <c r="U420" s="23"/>
      <c r="V420" s="23"/>
    </row>
    <row r="421" spans="1:22" x14ac:dyDescent="0.3">
      <c r="A421" s="23"/>
      <c r="B421" s="24" t="s">
        <v>404</v>
      </c>
      <c r="C421" s="25" t="s">
        <v>494</v>
      </c>
      <c r="D421" s="25" t="s">
        <v>536</v>
      </c>
      <c r="E421" s="25" t="s">
        <v>490</v>
      </c>
      <c r="F421" s="25" t="s">
        <v>485</v>
      </c>
      <c r="G421" s="26">
        <v>45629</v>
      </c>
      <c r="H421" s="26">
        <v>44967</v>
      </c>
      <c r="I421" s="26">
        <v>45095</v>
      </c>
      <c r="J421" s="27">
        <v>105</v>
      </c>
      <c r="K421" s="27">
        <v>33187.35</v>
      </c>
      <c r="L421" s="27">
        <v>8353.99</v>
      </c>
      <c r="M421" s="25" t="s">
        <v>483</v>
      </c>
      <c r="N421" s="25" t="s">
        <v>480</v>
      </c>
      <c r="O421" s="25" t="s">
        <v>476</v>
      </c>
      <c r="P421" s="28">
        <v>24</v>
      </c>
      <c r="Q421" s="23"/>
      <c r="R421" s="23"/>
      <c r="S421" s="23"/>
      <c r="T421" s="23"/>
      <c r="U421" s="23"/>
      <c r="V421" s="23"/>
    </row>
    <row r="422" spans="1:22" x14ac:dyDescent="0.3">
      <c r="A422" s="23"/>
      <c r="B422" s="24" t="s">
        <v>405</v>
      </c>
      <c r="C422" s="25" t="s">
        <v>495</v>
      </c>
      <c r="D422" s="25" t="s">
        <v>534</v>
      </c>
      <c r="E422" s="25" t="s">
        <v>492</v>
      </c>
      <c r="F422" s="25" t="s">
        <v>486</v>
      </c>
      <c r="G422" s="26">
        <v>45234</v>
      </c>
      <c r="H422" s="26">
        <v>45413</v>
      </c>
      <c r="I422" s="26">
        <v>45450</v>
      </c>
      <c r="J422" s="27">
        <v>373</v>
      </c>
      <c r="K422" s="27">
        <v>129009.51</v>
      </c>
      <c r="L422" s="27">
        <v>6801.07</v>
      </c>
      <c r="M422" s="25" t="s">
        <v>481</v>
      </c>
      <c r="N422" s="25" t="s">
        <v>480</v>
      </c>
      <c r="O422" s="25" t="s">
        <v>475</v>
      </c>
      <c r="P422" s="28">
        <v>1</v>
      </c>
      <c r="Q422" s="23"/>
      <c r="R422" s="23"/>
      <c r="S422" s="23"/>
      <c r="T422" s="23"/>
      <c r="U422" s="23"/>
      <c r="V422" s="23"/>
    </row>
    <row r="423" spans="1:22" x14ac:dyDescent="0.3">
      <c r="A423" s="23"/>
      <c r="B423" s="24" t="s">
        <v>406</v>
      </c>
      <c r="C423" s="25" t="s">
        <v>493</v>
      </c>
      <c r="D423" s="25" t="s">
        <v>534</v>
      </c>
      <c r="E423" s="25" t="s">
        <v>491</v>
      </c>
      <c r="F423" s="25" t="s">
        <v>487</v>
      </c>
      <c r="G423" s="26">
        <v>45109</v>
      </c>
      <c r="H423" s="26">
        <v>45147</v>
      </c>
      <c r="I423" s="26">
        <v>45214</v>
      </c>
      <c r="J423" s="27">
        <v>329</v>
      </c>
      <c r="K423" s="27">
        <v>42891.73</v>
      </c>
      <c r="L423" s="27">
        <v>1648.76</v>
      </c>
      <c r="M423" s="25" t="s">
        <v>484</v>
      </c>
      <c r="N423" s="25" t="s">
        <v>480</v>
      </c>
      <c r="O423" s="25" t="s">
        <v>475</v>
      </c>
      <c r="P423" s="28">
        <v>17</v>
      </c>
      <c r="Q423" s="23"/>
      <c r="R423" s="23"/>
      <c r="S423" s="23"/>
      <c r="T423" s="23"/>
      <c r="U423" s="23"/>
      <c r="V423" s="23"/>
    </row>
    <row r="424" spans="1:22" x14ac:dyDescent="0.3">
      <c r="A424" s="23"/>
      <c r="B424" s="24" t="s">
        <v>407</v>
      </c>
      <c r="C424" s="25" t="s">
        <v>494</v>
      </c>
      <c r="D424" s="25" t="s">
        <v>535</v>
      </c>
      <c r="E424" s="25" t="s">
        <v>491</v>
      </c>
      <c r="F424" s="25" t="s">
        <v>488</v>
      </c>
      <c r="G424" s="26">
        <v>45555</v>
      </c>
      <c r="H424" s="26">
        <v>45056</v>
      </c>
      <c r="I424" s="26">
        <v>45447</v>
      </c>
      <c r="J424" s="27">
        <v>465</v>
      </c>
      <c r="K424" s="27">
        <v>4622.0999999999995</v>
      </c>
      <c r="L424" s="27">
        <v>6223.71</v>
      </c>
      <c r="M424" s="25" t="s">
        <v>484</v>
      </c>
      <c r="N424" s="25" t="s">
        <v>480</v>
      </c>
      <c r="O424" s="25" t="s">
        <v>476</v>
      </c>
      <c r="P424" s="28">
        <v>15</v>
      </c>
      <c r="Q424" s="23"/>
      <c r="R424" s="23"/>
      <c r="S424" s="23"/>
      <c r="T424" s="23"/>
      <c r="U424" s="23"/>
      <c r="V424" s="23"/>
    </row>
    <row r="425" spans="1:22" x14ac:dyDescent="0.3">
      <c r="A425" s="23"/>
      <c r="B425" s="24" t="s">
        <v>408</v>
      </c>
      <c r="C425" s="25" t="s">
        <v>494</v>
      </c>
      <c r="D425" s="25" t="s">
        <v>534</v>
      </c>
      <c r="E425" s="25" t="s">
        <v>491</v>
      </c>
      <c r="F425" s="25" t="s">
        <v>488</v>
      </c>
      <c r="G425" s="26">
        <v>45436</v>
      </c>
      <c r="H425" s="26">
        <v>45447</v>
      </c>
      <c r="I425" s="26">
        <v>45587</v>
      </c>
      <c r="J425" s="27">
        <v>134</v>
      </c>
      <c r="K425" s="27">
        <v>48655.4</v>
      </c>
      <c r="L425" s="27">
        <v>1748.55</v>
      </c>
      <c r="M425" s="25" t="s">
        <v>484</v>
      </c>
      <c r="N425" s="25" t="s">
        <v>477</v>
      </c>
      <c r="O425" s="25" t="s">
        <v>475</v>
      </c>
      <c r="P425" s="28">
        <v>24</v>
      </c>
      <c r="Q425" s="23"/>
      <c r="R425" s="23"/>
      <c r="S425" s="23"/>
      <c r="T425" s="23"/>
      <c r="U425" s="23"/>
      <c r="V425" s="23"/>
    </row>
    <row r="426" spans="1:22" x14ac:dyDescent="0.3">
      <c r="A426" s="23"/>
      <c r="B426" s="24" t="s">
        <v>409</v>
      </c>
      <c r="C426" s="25" t="s">
        <v>496</v>
      </c>
      <c r="D426" s="25" t="s">
        <v>535</v>
      </c>
      <c r="E426" s="25" t="s">
        <v>491</v>
      </c>
      <c r="F426" s="25" t="s">
        <v>488</v>
      </c>
      <c r="G426" s="26">
        <v>45634</v>
      </c>
      <c r="H426" s="26">
        <v>45540</v>
      </c>
      <c r="I426" s="26">
        <v>45543</v>
      </c>
      <c r="J426" s="27">
        <v>533</v>
      </c>
      <c r="K426" s="27">
        <v>143989.94999999998</v>
      </c>
      <c r="L426" s="27">
        <v>6636.04</v>
      </c>
      <c r="M426" s="25" t="s">
        <v>483</v>
      </c>
      <c r="N426" s="25" t="s">
        <v>480</v>
      </c>
      <c r="O426" s="25" t="s">
        <v>475</v>
      </c>
      <c r="P426" s="28">
        <v>11</v>
      </c>
      <c r="Q426" s="23"/>
      <c r="R426" s="23"/>
      <c r="S426" s="23"/>
      <c r="T426" s="23"/>
      <c r="U426" s="23"/>
      <c r="V426" s="23"/>
    </row>
    <row r="427" spans="1:22" x14ac:dyDescent="0.3">
      <c r="A427" s="23"/>
      <c r="B427" s="24" t="s">
        <v>410</v>
      </c>
      <c r="C427" s="25" t="s">
        <v>494</v>
      </c>
      <c r="D427" s="25" t="s">
        <v>536</v>
      </c>
      <c r="E427" s="25" t="s">
        <v>492</v>
      </c>
      <c r="F427" s="25" t="s">
        <v>486</v>
      </c>
      <c r="G427" s="26">
        <v>45472</v>
      </c>
      <c r="H427" s="26">
        <v>45615</v>
      </c>
      <c r="I427" s="26">
        <v>45094</v>
      </c>
      <c r="J427" s="27">
        <v>489</v>
      </c>
      <c r="K427" s="27">
        <v>204832.32</v>
      </c>
      <c r="L427" s="27">
        <v>2382.5300000000002</v>
      </c>
      <c r="M427" s="25" t="s">
        <v>483</v>
      </c>
      <c r="N427" s="25" t="s">
        <v>480</v>
      </c>
      <c r="O427" s="25" t="s">
        <v>474</v>
      </c>
      <c r="P427" s="28">
        <v>6</v>
      </c>
      <c r="Q427" s="23"/>
      <c r="R427" s="23"/>
      <c r="S427" s="23"/>
      <c r="T427" s="23"/>
      <c r="U427" s="23"/>
      <c r="V427" s="23"/>
    </row>
    <row r="428" spans="1:22" x14ac:dyDescent="0.3">
      <c r="A428" s="23"/>
      <c r="B428" s="24" t="s">
        <v>410</v>
      </c>
      <c r="C428" s="25" t="s">
        <v>496</v>
      </c>
      <c r="D428" s="25" t="s">
        <v>534</v>
      </c>
      <c r="E428" s="25" t="s">
        <v>490</v>
      </c>
      <c r="F428" s="25" t="s">
        <v>486</v>
      </c>
      <c r="G428" s="26">
        <v>45490</v>
      </c>
      <c r="H428" s="26">
        <v>45546</v>
      </c>
      <c r="I428" s="26">
        <v>45589</v>
      </c>
      <c r="J428" s="27">
        <v>507</v>
      </c>
      <c r="K428" s="27">
        <v>208676.12999999998</v>
      </c>
      <c r="L428" s="27">
        <v>4610.32</v>
      </c>
      <c r="M428" s="25" t="s">
        <v>482</v>
      </c>
      <c r="N428" s="25" t="s">
        <v>480</v>
      </c>
      <c r="O428" s="25" t="s">
        <v>475</v>
      </c>
      <c r="P428" s="28">
        <v>6</v>
      </c>
      <c r="Q428" s="23"/>
      <c r="R428" s="23"/>
      <c r="S428" s="23"/>
      <c r="T428" s="23"/>
      <c r="U428" s="23"/>
      <c r="V428" s="23"/>
    </row>
    <row r="429" spans="1:22" x14ac:dyDescent="0.3">
      <c r="A429" s="23"/>
      <c r="B429" s="24" t="s">
        <v>411</v>
      </c>
      <c r="C429" s="25" t="s">
        <v>495</v>
      </c>
      <c r="D429" s="25" t="s">
        <v>536</v>
      </c>
      <c r="E429" s="25" t="s">
        <v>492</v>
      </c>
      <c r="F429" s="25" t="s">
        <v>487</v>
      </c>
      <c r="G429" s="26">
        <v>45550</v>
      </c>
      <c r="H429" s="26">
        <v>45540</v>
      </c>
      <c r="I429" s="26">
        <v>44994</v>
      </c>
      <c r="J429" s="27">
        <v>485</v>
      </c>
      <c r="K429" s="27">
        <v>204888.25</v>
      </c>
      <c r="L429" s="27">
        <v>9358.07</v>
      </c>
      <c r="M429" s="25" t="s">
        <v>482</v>
      </c>
      <c r="N429" s="25" t="s">
        <v>477</v>
      </c>
      <c r="O429" s="25" t="s">
        <v>475</v>
      </c>
      <c r="P429" s="28">
        <v>16</v>
      </c>
      <c r="Q429" s="23"/>
      <c r="R429" s="23"/>
      <c r="S429" s="23"/>
      <c r="T429" s="23"/>
      <c r="U429" s="23"/>
      <c r="V429" s="23"/>
    </row>
    <row r="430" spans="1:22" x14ac:dyDescent="0.3">
      <c r="A430" s="23"/>
      <c r="B430" s="24" t="s">
        <v>412</v>
      </c>
      <c r="C430" s="25" t="s">
        <v>493</v>
      </c>
      <c r="D430" s="25" t="s">
        <v>534</v>
      </c>
      <c r="E430" s="25" t="s">
        <v>492</v>
      </c>
      <c r="F430" s="25" t="s">
        <v>488</v>
      </c>
      <c r="G430" s="26">
        <v>45520</v>
      </c>
      <c r="H430" s="26">
        <v>45187</v>
      </c>
      <c r="I430" s="26">
        <v>45021</v>
      </c>
      <c r="J430" s="27">
        <v>247</v>
      </c>
      <c r="K430" s="27">
        <v>60544.639999999999</v>
      </c>
      <c r="L430" s="27">
        <v>6256.24</v>
      </c>
      <c r="M430" s="25" t="s">
        <v>481</v>
      </c>
      <c r="N430" s="25" t="s">
        <v>480</v>
      </c>
      <c r="O430" s="25" t="s">
        <v>475</v>
      </c>
      <c r="P430" s="28">
        <v>12</v>
      </c>
      <c r="Q430" s="23"/>
      <c r="R430" s="23"/>
      <c r="S430" s="23"/>
      <c r="T430" s="23"/>
      <c r="U430" s="23"/>
      <c r="V430" s="23"/>
    </row>
    <row r="431" spans="1:22" x14ac:dyDescent="0.3">
      <c r="A431" s="23"/>
      <c r="B431" s="24" t="s">
        <v>413</v>
      </c>
      <c r="C431" s="25" t="s">
        <v>495</v>
      </c>
      <c r="D431" s="25" t="s">
        <v>534</v>
      </c>
      <c r="E431" s="25" t="s">
        <v>491</v>
      </c>
      <c r="F431" s="25" t="s">
        <v>486</v>
      </c>
      <c r="G431" s="26">
        <v>45153</v>
      </c>
      <c r="H431" s="26">
        <v>45293</v>
      </c>
      <c r="I431" s="26">
        <v>45047</v>
      </c>
      <c r="J431" s="27">
        <v>490</v>
      </c>
      <c r="K431" s="27">
        <v>83373.5</v>
      </c>
      <c r="L431" s="27">
        <v>1340.31</v>
      </c>
      <c r="M431" s="25" t="s">
        <v>481</v>
      </c>
      <c r="N431" s="25" t="s">
        <v>480</v>
      </c>
      <c r="O431" s="25" t="s">
        <v>474</v>
      </c>
      <c r="P431" s="28">
        <v>10</v>
      </c>
      <c r="Q431" s="23"/>
      <c r="R431" s="23"/>
      <c r="S431" s="23"/>
      <c r="T431" s="23"/>
      <c r="U431" s="23"/>
      <c r="V431" s="23"/>
    </row>
    <row r="432" spans="1:22" x14ac:dyDescent="0.3">
      <c r="A432" s="23"/>
      <c r="B432" s="24" t="s">
        <v>414</v>
      </c>
      <c r="C432" s="25" t="s">
        <v>493</v>
      </c>
      <c r="D432" s="25" t="s">
        <v>534</v>
      </c>
      <c r="E432" s="25" t="s">
        <v>490</v>
      </c>
      <c r="F432" s="25" t="s">
        <v>486</v>
      </c>
      <c r="G432" s="26">
        <v>45153</v>
      </c>
      <c r="H432" s="26">
        <v>45471</v>
      </c>
      <c r="I432" s="26">
        <v>45197</v>
      </c>
      <c r="J432" s="27">
        <v>285</v>
      </c>
      <c r="K432" s="27">
        <v>113093.7</v>
      </c>
      <c r="L432" s="27">
        <v>1414.63</v>
      </c>
      <c r="M432" s="25" t="s">
        <v>484</v>
      </c>
      <c r="N432" s="25" t="s">
        <v>477</v>
      </c>
      <c r="O432" s="25" t="s">
        <v>475</v>
      </c>
      <c r="P432" s="28">
        <v>5</v>
      </c>
      <c r="Q432" s="23"/>
      <c r="R432" s="23"/>
      <c r="S432" s="23"/>
      <c r="T432" s="23"/>
      <c r="U432" s="23"/>
      <c r="V432" s="23"/>
    </row>
    <row r="433" spans="1:22" x14ac:dyDescent="0.3">
      <c r="A433" s="23"/>
      <c r="B433" s="24" t="s">
        <v>415</v>
      </c>
      <c r="C433" s="25" t="s">
        <v>494</v>
      </c>
      <c r="D433" s="25" t="s">
        <v>534</v>
      </c>
      <c r="E433" s="25" t="s">
        <v>490</v>
      </c>
      <c r="F433" s="25" t="s">
        <v>485</v>
      </c>
      <c r="G433" s="26">
        <v>45362</v>
      </c>
      <c r="H433" s="26">
        <v>45576</v>
      </c>
      <c r="I433" s="26">
        <v>45615</v>
      </c>
      <c r="J433" s="27">
        <v>172</v>
      </c>
      <c r="K433" s="27">
        <v>39283.079999999994</v>
      </c>
      <c r="L433" s="27">
        <v>1089.32</v>
      </c>
      <c r="M433" s="25" t="s">
        <v>484</v>
      </c>
      <c r="N433" s="25" t="s">
        <v>477</v>
      </c>
      <c r="O433" s="25" t="s">
        <v>476</v>
      </c>
      <c r="P433" s="28">
        <v>28</v>
      </c>
      <c r="Q433" s="23"/>
      <c r="R433" s="23"/>
      <c r="S433" s="23"/>
      <c r="T433" s="23"/>
      <c r="U433" s="23"/>
      <c r="V433" s="23"/>
    </row>
    <row r="434" spans="1:22" x14ac:dyDescent="0.3">
      <c r="A434" s="23"/>
      <c r="B434" s="24" t="s">
        <v>416</v>
      </c>
      <c r="C434" s="25" t="s">
        <v>496</v>
      </c>
      <c r="D434" s="25" t="s">
        <v>536</v>
      </c>
      <c r="E434" s="25" t="s">
        <v>490</v>
      </c>
      <c r="F434" s="25" t="s">
        <v>485</v>
      </c>
      <c r="G434" s="26">
        <v>45348</v>
      </c>
      <c r="H434" s="26">
        <v>45451</v>
      </c>
      <c r="I434" s="26">
        <v>45489</v>
      </c>
      <c r="J434" s="27">
        <v>268</v>
      </c>
      <c r="K434" s="27">
        <v>25674.399999999998</v>
      </c>
      <c r="L434" s="27">
        <v>6102.78</v>
      </c>
      <c r="M434" s="25" t="s">
        <v>484</v>
      </c>
      <c r="N434" s="25" t="s">
        <v>477</v>
      </c>
      <c r="O434" s="25" t="s">
        <v>475</v>
      </c>
      <c r="P434" s="28">
        <v>22</v>
      </c>
      <c r="Q434" s="23"/>
      <c r="R434" s="23"/>
      <c r="S434" s="23"/>
      <c r="T434" s="23"/>
      <c r="U434" s="23"/>
      <c r="V434" s="23"/>
    </row>
    <row r="435" spans="1:22" x14ac:dyDescent="0.3">
      <c r="A435" s="23"/>
      <c r="B435" s="24" t="s">
        <v>417</v>
      </c>
      <c r="C435" s="25" t="s">
        <v>496</v>
      </c>
      <c r="D435" s="25" t="s">
        <v>536</v>
      </c>
      <c r="E435" s="25" t="s">
        <v>492</v>
      </c>
      <c r="F435" s="25" t="s">
        <v>486</v>
      </c>
      <c r="G435" s="26">
        <v>45480</v>
      </c>
      <c r="H435" s="26">
        <v>44943</v>
      </c>
      <c r="I435" s="26">
        <v>45070</v>
      </c>
      <c r="J435" s="27">
        <v>562</v>
      </c>
      <c r="K435" s="27">
        <v>240654.02</v>
      </c>
      <c r="L435" s="27">
        <v>4340.78</v>
      </c>
      <c r="M435" s="25" t="s">
        <v>483</v>
      </c>
      <c r="N435" s="25" t="s">
        <v>479</v>
      </c>
      <c r="O435" s="25" t="s">
        <v>476</v>
      </c>
      <c r="P435" s="28">
        <v>26</v>
      </c>
      <c r="Q435" s="23"/>
      <c r="R435" s="23"/>
      <c r="S435" s="23"/>
      <c r="T435" s="23"/>
      <c r="U435" s="23"/>
      <c r="V435" s="23"/>
    </row>
    <row r="436" spans="1:22" x14ac:dyDescent="0.3">
      <c r="A436" s="23"/>
      <c r="B436" s="24" t="s">
        <v>418</v>
      </c>
      <c r="C436" s="25" t="s">
        <v>496</v>
      </c>
      <c r="D436" s="25" t="s">
        <v>534</v>
      </c>
      <c r="E436" s="25" t="s">
        <v>490</v>
      </c>
      <c r="F436" s="25" t="s">
        <v>486</v>
      </c>
      <c r="G436" s="26">
        <v>44947</v>
      </c>
      <c r="H436" s="26">
        <v>45056</v>
      </c>
      <c r="I436" s="26">
        <v>45176</v>
      </c>
      <c r="J436" s="27">
        <v>169</v>
      </c>
      <c r="K436" s="27">
        <v>74676.03</v>
      </c>
      <c r="L436" s="27">
        <v>4328.3500000000004</v>
      </c>
      <c r="M436" s="25" t="s">
        <v>482</v>
      </c>
      <c r="N436" s="25" t="s">
        <v>480</v>
      </c>
      <c r="O436" s="25" t="s">
        <v>475</v>
      </c>
      <c r="P436" s="28">
        <v>13</v>
      </c>
      <c r="Q436" s="23"/>
      <c r="R436" s="23"/>
      <c r="S436" s="23"/>
      <c r="T436" s="23"/>
      <c r="U436" s="23"/>
      <c r="V436" s="23"/>
    </row>
    <row r="437" spans="1:22" x14ac:dyDescent="0.3">
      <c r="A437" s="23"/>
      <c r="B437" s="24" t="s">
        <v>418</v>
      </c>
      <c r="C437" s="25" t="s">
        <v>496</v>
      </c>
      <c r="D437" s="25" t="s">
        <v>534</v>
      </c>
      <c r="E437" s="25" t="s">
        <v>490</v>
      </c>
      <c r="F437" s="25" t="s">
        <v>485</v>
      </c>
      <c r="G437" s="26">
        <v>45480</v>
      </c>
      <c r="H437" s="26">
        <v>45502</v>
      </c>
      <c r="I437" s="26">
        <v>45591</v>
      </c>
      <c r="J437" s="27">
        <v>430</v>
      </c>
      <c r="K437" s="27">
        <v>101402.59999999999</v>
      </c>
      <c r="L437" s="27">
        <v>6636.59</v>
      </c>
      <c r="M437" s="25" t="s">
        <v>482</v>
      </c>
      <c r="N437" s="25" t="s">
        <v>480</v>
      </c>
      <c r="O437" s="25" t="s">
        <v>475</v>
      </c>
      <c r="P437" s="28">
        <v>5</v>
      </c>
      <c r="Q437" s="23"/>
      <c r="R437" s="23"/>
      <c r="S437" s="23"/>
      <c r="T437" s="23"/>
      <c r="U437" s="23"/>
      <c r="V437" s="23"/>
    </row>
    <row r="438" spans="1:22" x14ac:dyDescent="0.3">
      <c r="A438" s="23"/>
      <c r="B438" s="24" t="s">
        <v>419</v>
      </c>
      <c r="C438" s="25" t="s">
        <v>496</v>
      </c>
      <c r="D438" s="25" t="s">
        <v>535</v>
      </c>
      <c r="E438" s="25" t="s">
        <v>490</v>
      </c>
      <c r="F438" s="25" t="s">
        <v>486</v>
      </c>
      <c r="G438" s="26">
        <v>45323</v>
      </c>
      <c r="H438" s="26">
        <v>45036</v>
      </c>
      <c r="I438" s="26">
        <v>45325</v>
      </c>
      <c r="J438" s="27">
        <v>201</v>
      </c>
      <c r="K438" s="27">
        <v>8536.4699999999993</v>
      </c>
      <c r="L438" s="27">
        <v>8196.4699999999993</v>
      </c>
      <c r="M438" s="25" t="s">
        <v>482</v>
      </c>
      <c r="N438" s="25" t="s">
        <v>479</v>
      </c>
      <c r="O438" s="25" t="s">
        <v>475</v>
      </c>
      <c r="P438" s="28">
        <v>5</v>
      </c>
      <c r="Q438" s="23"/>
      <c r="R438" s="23"/>
      <c r="S438" s="23"/>
      <c r="T438" s="23"/>
      <c r="U438" s="23"/>
      <c r="V438" s="23"/>
    </row>
    <row r="439" spans="1:22" x14ac:dyDescent="0.3">
      <c r="A439" s="23"/>
      <c r="B439" s="24" t="s">
        <v>420</v>
      </c>
      <c r="C439" s="25" t="s">
        <v>495</v>
      </c>
      <c r="D439" s="25" t="s">
        <v>535</v>
      </c>
      <c r="E439" s="25" t="s">
        <v>492</v>
      </c>
      <c r="F439" s="25" t="s">
        <v>486</v>
      </c>
      <c r="G439" s="26">
        <v>45551</v>
      </c>
      <c r="H439" s="26">
        <v>45460</v>
      </c>
      <c r="I439" s="26">
        <v>45417</v>
      </c>
      <c r="J439" s="27">
        <v>473</v>
      </c>
      <c r="K439" s="27">
        <v>93166.81</v>
      </c>
      <c r="L439" s="27">
        <v>4676.84</v>
      </c>
      <c r="M439" s="25" t="s">
        <v>482</v>
      </c>
      <c r="N439" s="25" t="s">
        <v>477</v>
      </c>
      <c r="O439" s="25" t="s">
        <v>475</v>
      </c>
      <c r="P439" s="28">
        <v>1</v>
      </c>
      <c r="Q439" s="23"/>
      <c r="R439" s="23"/>
      <c r="S439" s="23"/>
      <c r="T439" s="23"/>
      <c r="U439" s="23"/>
      <c r="V439" s="23"/>
    </row>
    <row r="440" spans="1:22" x14ac:dyDescent="0.3">
      <c r="A440" s="23"/>
      <c r="B440" s="24" t="s">
        <v>421</v>
      </c>
      <c r="C440" s="25" t="s">
        <v>494</v>
      </c>
      <c r="D440" s="25" t="s">
        <v>535</v>
      </c>
      <c r="E440" s="25" t="s">
        <v>491</v>
      </c>
      <c r="F440" s="25" t="s">
        <v>485</v>
      </c>
      <c r="G440" s="26">
        <v>45118</v>
      </c>
      <c r="H440" s="26">
        <v>45196</v>
      </c>
      <c r="I440" s="26">
        <v>45447</v>
      </c>
      <c r="J440" s="27">
        <v>468</v>
      </c>
      <c r="K440" s="27">
        <v>211245.84</v>
      </c>
      <c r="L440" s="27">
        <v>1515.39</v>
      </c>
      <c r="M440" s="25" t="s">
        <v>481</v>
      </c>
      <c r="N440" s="25" t="s">
        <v>478</v>
      </c>
      <c r="O440" s="25" t="s">
        <v>475</v>
      </c>
      <c r="P440" s="28">
        <v>21</v>
      </c>
      <c r="Q440" s="23"/>
      <c r="R440" s="23"/>
      <c r="S440" s="23"/>
      <c r="T440" s="23"/>
      <c r="U440" s="23"/>
      <c r="V440" s="23"/>
    </row>
    <row r="441" spans="1:22" x14ac:dyDescent="0.3">
      <c r="A441" s="23"/>
      <c r="B441" s="24" t="s">
        <v>422</v>
      </c>
      <c r="C441" s="25" t="s">
        <v>494</v>
      </c>
      <c r="D441" s="25" t="s">
        <v>535</v>
      </c>
      <c r="E441" s="25" t="s">
        <v>492</v>
      </c>
      <c r="F441" s="25" t="s">
        <v>485</v>
      </c>
      <c r="G441" s="26">
        <v>44943</v>
      </c>
      <c r="H441" s="26">
        <v>45089</v>
      </c>
      <c r="I441" s="26">
        <v>45114</v>
      </c>
      <c r="J441" s="27">
        <v>285</v>
      </c>
      <c r="K441" s="27">
        <v>30130.2</v>
      </c>
      <c r="L441" s="27">
        <v>7077.15</v>
      </c>
      <c r="M441" s="25" t="s">
        <v>484</v>
      </c>
      <c r="N441" s="25" t="s">
        <v>478</v>
      </c>
      <c r="O441" s="25" t="s">
        <v>476</v>
      </c>
      <c r="P441" s="28">
        <v>19</v>
      </c>
      <c r="Q441" s="23"/>
      <c r="R441" s="23"/>
      <c r="S441" s="23"/>
      <c r="T441" s="23"/>
      <c r="U441" s="23"/>
      <c r="V441" s="23"/>
    </row>
    <row r="442" spans="1:22" x14ac:dyDescent="0.3">
      <c r="A442" s="23"/>
      <c r="B442" s="24" t="s">
        <v>423</v>
      </c>
      <c r="C442" s="25" t="s">
        <v>495</v>
      </c>
      <c r="D442" s="25" t="s">
        <v>536</v>
      </c>
      <c r="E442" s="25" t="s">
        <v>491</v>
      </c>
      <c r="F442" s="25" t="s">
        <v>487</v>
      </c>
      <c r="G442" s="26">
        <v>45046</v>
      </c>
      <c r="H442" s="26">
        <v>45187</v>
      </c>
      <c r="I442" s="26">
        <v>44950</v>
      </c>
      <c r="J442" s="27">
        <v>151</v>
      </c>
      <c r="K442" s="27">
        <v>5760.65</v>
      </c>
      <c r="L442" s="27">
        <v>7579.47</v>
      </c>
      <c r="M442" s="25" t="s">
        <v>482</v>
      </c>
      <c r="N442" s="25" t="s">
        <v>480</v>
      </c>
      <c r="O442" s="25" t="s">
        <v>476</v>
      </c>
      <c r="P442" s="28">
        <v>24</v>
      </c>
      <c r="Q442" s="23"/>
      <c r="R442" s="23"/>
      <c r="S442" s="23"/>
      <c r="T442" s="23"/>
      <c r="U442" s="23"/>
      <c r="V442" s="23"/>
    </row>
    <row r="443" spans="1:22" x14ac:dyDescent="0.3">
      <c r="A443" s="23"/>
      <c r="B443" s="24" t="s">
        <v>424</v>
      </c>
      <c r="C443" s="25" t="s">
        <v>496</v>
      </c>
      <c r="D443" s="25" t="s">
        <v>536</v>
      </c>
      <c r="E443" s="25" t="s">
        <v>490</v>
      </c>
      <c r="F443" s="25" t="s">
        <v>488</v>
      </c>
      <c r="G443" s="26">
        <v>45319</v>
      </c>
      <c r="H443" s="26">
        <v>45029</v>
      </c>
      <c r="I443" s="26">
        <v>45488</v>
      </c>
      <c r="J443" s="27">
        <v>421</v>
      </c>
      <c r="K443" s="27">
        <v>184941.09</v>
      </c>
      <c r="L443" s="27">
        <v>8265.82</v>
      </c>
      <c r="M443" s="25" t="s">
        <v>484</v>
      </c>
      <c r="N443" s="25" t="s">
        <v>480</v>
      </c>
      <c r="O443" s="25" t="s">
        <v>475</v>
      </c>
      <c r="P443" s="28">
        <v>14</v>
      </c>
      <c r="Q443" s="23"/>
      <c r="R443" s="23"/>
      <c r="S443" s="23"/>
      <c r="T443" s="23"/>
      <c r="U443" s="23"/>
      <c r="V443" s="23"/>
    </row>
    <row r="444" spans="1:22" x14ac:dyDescent="0.3">
      <c r="A444" s="23"/>
      <c r="B444" s="24" t="s">
        <v>425</v>
      </c>
      <c r="C444" s="25" t="s">
        <v>496</v>
      </c>
      <c r="D444" s="25" t="s">
        <v>534</v>
      </c>
      <c r="E444" s="25" t="s">
        <v>491</v>
      </c>
      <c r="F444" s="25" t="s">
        <v>487</v>
      </c>
      <c r="G444" s="26">
        <v>45351</v>
      </c>
      <c r="H444" s="26">
        <v>45433</v>
      </c>
      <c r="I444" s="26">
        <v>45454</v>
      </c>
      <c r="J444" s="27">
        <v>440</v>
      </c>
      <c r="K444" s="27">
        <v>87014.399999999994</v>
      </c>
      <c r="L444" s="27">
        <v>4567.2</v>
      </c>
      <c r="M444" s="25" t="s">
        <v>482</v>
      </c>
      <c r="N444" s="25" t="s">
        <v>480</v>
      </c>
      <c r="O444" s="25" t="s">
        <v>475</v>
      </c>
      <c r="P444" s="28">
        <v>27</v>
      </c>
      <c r="Q444" s="23"/>
      <c r="R444" s="23"/>
      <c r="S444" s="23"/>
      <c r="T444" s="23"/>
      <c r="U444" s="23"/>
      <c r="V444" s="23"/>
    </row>
    <row r="445" spans="1:22" x14ac:dyDescent="0.3">
      <c r="A445" s="23"/>
      <c r="B445" s="24" t="s">
        <v>426</v>
      </c>
      <c r="C445" s="25" t="s">
        <v>495</v>
      </c>
      <c r="D445" s="25" t="s">
        <v>534</v>
      </c>
      <c r="E445" s="25" t="s">
        <v>490</v>
      </c>
      <c r="F445" s="25" t="s">
        <v>486</v>
      </c>
      <c r="G445" s="26">
        <v>45055</v>
      </c>
      <c r="H445" s="26">
        <v>45662</v>
      </c>
      <c r="I445" s="26">
        <v>45512</v>
      </c>
      <c r="J445" s="27">
        <v>153</v>
      </c>
      <c r="K445" s="27">
        <v>41795.01</v>
      </c>
      <c r="L445" s="27">
        <v>7088.6</v>
      </c>
      <c r="M445" s="25" t="s">
        <v>481</v>
      </c>
      <c r="N445" s="25" t="s">
        <v>480</v>
      </c>
      <c r="O445" s="25" t="s">
        <v>475</v>
      </c>
      <c r="P445" s="28">
        <v>16</v>
      </c>
      <c r="Q445" s="23"/>
      <c r="R445" s="23"/>
      <c r="S445" s="23"/>
      <c r="T445" s="23"/>
      <c r="U445" s="23"/>
      <c r="V445" s="23"/>
    </row>
    <row r="446" spans="1:22" x14ac:dyDescent="0.3">
      <c r="A446" s="23"/>
      <c r="B446" s="24" t="s">
        <v>427</v>
      </c>
      <c r="C446" s="25" t="s">
        <v>496</v>
      </c>
      <c r="D446" s="25" t="s">
        <v>534</v>
      </c>
      <c r="E446" s="25" t="s">
        <v>490</v>
      </c>
      <c r="F446" s="25" t="s">
        <v>488</v>
      </c>
      <c r="G446" s="26">
        <v>45056</v>
      </c>
      <c r="H446" s="26">
        <v>45498</v>
      </c>
      <c r="I446" s="26">
        <v>45459</v>
      </c>
      <c r="J446" s="27">
        <v>339</v>
      </c>
      <c r="K446" s="27">
        <v>164140.41</v>
      </c>
      <c r="L446" s="27">
        <v>7178.15</v>
      </c>
      <c r="M446" s="25" t="s">
        <v>481</v>
      </c>
      <c r="N446" s="25" t="s">
        <v>477</v>
      </c>
      <c r="O446" s="25" t="s">
        <v>475</v>
      </c>
      <c r="P446" s="28">
        <v>28</v>
      </c>
      <c r="Q446" s="23"/>
      <c r="R446" s="23"/>
      <c r="S446" s="23"/>
      <c r="T446" s="23"/>
      <c r="U446" s="23"/>
      <c r="V446" s="23"/>
    </row>
    <row r="447" spans="1:22" x14ac:dyDescent="0.3">
      <c r="A447" s="23"/>
      <c r="B447" s="24" t="s">
        <v>428</v>
      </c>
      <c r="C447" s="25" t="s">
        <v>495</v>
      </c>
      <c r="D447" s="25" t="s">
        <v>534</v>
      </c>
      <c r="E447" s="25" t="s">
        <v>491</v>
      </c>
      <c r="F447" s="25" t="s">
        <v>485</v>
      </c>
      <c r="G447" s="26">
        <v>45498</v>
      </c>
      <c r="H447" s="26">
        <v>45174</v>
      </c>
      <c r="I447" s="26">
        <v>45077</v>
      </c>
      <c r="J447" s="27">
        <v>389</v>
      </c>
      <c r="K447" s="27">
        <v>14762.550000000001</v>
      </c>
      <c r="L447" s="27">
        <v>6636.04</v>
      </c>
      <c r="M447" s="25" t="s">
        <v>483</v>
      </c>
      <c r="N447" s="25" t="s">
        <v>477</v>
      </c>
      <c r="O447" s="25" t="s">
        <v>475</v>
      </c>
      <c r="P447" s="28">
        <v>7</v>
      </c>
      <c r="Q447" s="23"/>
      <c r="R447" s="23"/>
      <c r="S447" s="23"/>
      <c r="T447" s="23"/>
      <c r="U447" s="23"/>
      <c r="V447" s="23"/>
    </row>
    <row r="448" spans="1:22" x14ac:dyDescent="0.3">
      <c r="A448" s="23"/>
      <c r="B448" s="24" t="s">
        <v>429</v>
      </c>
      <c r="C448" s="25" t="s">
        <v>495</v>
      </c>
      <c r="D448" s="25" t="s">
        <v>534</v>
      </c>
      <c r="E448" s="25" t="s">
        <v>492</v>
      </c>
      <c r="F448" s="25" t="s">
        <v>485</v>
      </c>
      <c r="G448" s="26">
        <v>45486</v>
      </c>
      <c r="H448" s="26">
        <v>45567</v>
      </c>
      <c r="I448" s="26">
        <v>45596</v>
      </c>
      <c r="J448" s="27">
        <v>174</v>
      </c>
      <c r="K448" s="27">
        <v>56710.080000000002</v>
      </c>
      <c r="L448" s="27">
        <v>1089.32</v>
      </c>
      <c r="M448" s="25" t="s">
        <v>483</v>
      </c>
      <c r="N448" s="25" t="s">
        <v>477</v>
      </c>
      <c r="O448" s="25" t="s">
        <v>476</v>
      </c>
      <c r="P448" s="28">
        <v>4</v>
      </c>
      <c r="Q448" s="23"/>
      <c r="R448" s="23"/>
      <c r="S448" s="23"/>
      <c r="T448" s="23"/>
      <c r="U448" s="23"/>
      <c r="V448" s="23"/>
    </row>
    <row r="449" spans="1:22" x14ac:dyDescent="0.3">
      <c r="A449" s="23"/>
      <c r="B449" s="24" t="s">
        <v>430</v>
      </c>
      <c r="C449" s="25" t="s">
        <v>495</v>
      </c>
      <c r="D449" s="25" t="s">
        <v>535</v>
      </c>
      <c r="E449" s="25" t="s">
        <v>492</v>
      </c>
      <c r="F449" s="25" t="s">
        <v>485</v>
      </c>
      <c r="G449" s="26">
        <v>44955</v>
      </c>
      <c r="H449" s="26">
        <v>45464</v>
      </c>
      <c r="I449" s="26">
        <v>45234</v>
      </c>
      <c r="J449" s="27">
        <v>452</v>
      </c>
      <c r="K449" s="27">
        <v>18839.36</v>
      </c>
      <c r="L449" s="27">
        <v>2221.16</v>
      </c>
      <c r="M449" s="25" t="s">
        <v>484</v>
      </c>
      <c r="N449" s="25" t="s">
        <v>477</v>
      </c>
      <c r="O449" s="25" t="s">
        <v>476</v>
      </c>
      <c r="P449" s="28">
        <v>16</v>
      </c>
      <c r="Q449" s="23"/>
      <c r="R449" s="23"/>
      <c r="S449" s="23"/>
      <c r="T449" s="23"/>
      <c r="U449" s="23"/>
      <c r="V449" s="23"/>
    </row>
    <row r="450" spans="1:22" x14ac:dyDescent="0.3">
      <c r="A450" s="23"/>
      <c r="B450" s="24" t="s">
        <v>431</v>
      </c>
      <c r="C450" s="25" t="s">
        <v>495</v>
      </c>
      <c r="D450" s="25" t="s">
        <v>536</v>
      </c>
      <c r="E450" s="25" t="s">
        <v>492</v>
      </c>
      <c r="F450" s="25" t="s">
        <v>488</v>
      </c>
      <c r="G450" s="26">
        <v>45023</v>
      </c>
      <c r="H450" s="26">
        <v>45058</v>
      </c>
      <c r="I450" s="26">
        <v>45550</v>
      </c>
      <c r="J450" s="27">
        <v>563</v>
      </c>
      <c r="K450" s="27">
        <v>107454.18000000001</v>
      </c>
      <c r="L450" s="27">
        <v>4610.32</v>
      </c>
      <c r="M450" s="25" t="s">
        <v>483</v>
      </c>
      <c r="N450" s="25" t="s">
        <v>480</v>
      </c>
      <c r="O450" s="25" t="s">
        <v>476</v>
      </c>
      <c r="P450" s="28">
        <v>19</v>
      </c>
      <c r="Q450" s="23"/>
      <c r="R450" s="23"/>
      <c r="S450" s="23"/>
      <c r="T450" s="23"/>
      <c r="U450" s="23"/>
      <c r="V450" s="23"/>
    </row>
    <row r="451" spans="1:22" x14ac:dyDescent="0.3">
      <c r="A451" s="23"/>
      <c r="B451" s="24" t="s">
        <v>432</v>
      </c>
      <c r="C451" s="25" t="s">
        <v>495</v>
      </c>
      <c r="D451" s="25" t="s">
        <v>536</v>
      </c>
      <c r="E451" s="25" t="s">
        <v>490</v>
      </c>
      <c r="F451" s="25" t="s">
        <v>486</v>
      </c>
      <c r="G451" s="26">
        <v>44936</v>
      </c>
      <c r="H451" s="26">
        <v>45280</v>
      </c>
      <c r="I451" s="26">
        <v>45550</v>
      </c>
      <c r="J451" s="27">
        <v>501</v>
      </c>
      <c r="K451" s="27">
        <v>201847.88999999998</v>
      </c>
      <c r="L451" s="27">
        <v>8866.6299999999992</v>
      </c>
      <c r="M451" s="25" t="s">
        <v>484</v>
      </c>
      <c r="N451" s="25" t="s">
        <v>479</v>
      </c>
      <c r="O451" s="25" t="s">
        <v>474</v>
      </c>
      <c r="P451" s="28">
        <v>0</v>
      </c>
      <c r="Q451" s="23"/>
      <c r="R451" s="23"/>
      <c r="S451" s="23"/>
      <c r="T451" s="23"/>
      <c r="U451" s="23"/>
      <c r="V451" s="23"/>
    </row>
    <row r="452" spans="1:22" x14ac:dyDescent="0.3">
      <c r="A452" s="23"/>
      <c r="B452" s="24" t="s">
        <v>433</v>
      </c>
      <c r="C452" s="25" t="s">
        <v>495</v>
      </c>
      <c r="D452" s="25" t="s">
        <v>536</v>
      </c>
      <c r="E452" s="25" t="s">
        <v>490</v>
      </c>
      <c r="F452" s="25" t="s">
        <v>488</v>
      </c>
      <c r="G452" s="26">
        <v>45168</v>
      </c>
      <c r="H452" s="26">
        <v>45123</v>
      </c>
      <c r="I452" s="26">
        <v>45512</v>
      </c>
      <c r="J452" s="27">
        <v>574</v>
      </c>
      <c r="K452" s="27">
        <v>126033.18</v>
      </c>
      <c r="L452" s="27">
        <v>5130.28</v>
      </c>
      <c r="M452" s="25" t="s">
        <v>482</v>
      </c>
      <c r="N452" s="25" t="s">
        <v>480</v>
      </c>
      <c r="O452" s="25" t="s">
        <v>474</v>
      </c>
      <c r="P452" s="28">
        <v>21</v>
      </c>
      <c r="Q452" s="23"/>
      <c r="R452" s="23"/>
      <c r="S452" s="23"/>
      <c r="T452" s="23"/>
      <c r="U452" s="23"/>
      <c r="V452" s="23"/>
    </row>
    <row r="453" spans="1:22" x14ac:dyDescent="0.3">
      <c r="A453" s="23"/>
      <c r="B453" s="24" t="s">
        <v>434</v>
      </c>
      <c r="C453" s="25" t="s">
        <v>495</v>
      </c>
      <c r="D453" s="25" t="s">
        <v>536</v>
      </c>
      <c r="E453" s="25" t="s">
        <v>492</v>
      </c>
      <c r="F453" s="25" t="s">
        <v>486</v>
      </c>
      <c r="G453" s="26">
        <v>45158</v>
      </c>
      <c r="H453" s="26">
        <v>45593</v>
      </c>
      <c r="I453" s="26">
        <v>45625</v>
      </c>
      <c r="J453" s="27">
        <v>508</v>
      </c>
      <c r="K453" s="27">
        <v>253293.88</v>
      </c>
      <c r="L453" s="27">
        <v>4799.6400000000003</v>
      </c>
      <c r="M453" s="25" t="s">
        <v>482</v>
      </c>
      <c r="N453" s="25" t="s">
        <v>479</v>
      </c>
      <c r="O453" s="25" t="s">
        <v>476</v>
      </c>
      <c r="P453" s="28">
        <v>17</v>
      </c>
      <c r="Q453" s="23"/>
      <c r="R453" s="23"/>
      <c r="S453" s="23"/>
      <c r="T453" s="23"/>
      <c r="U453" s="23"/>
      <c r="V453" s="23"/>
    </row>
    <row r="454" spans="1:22" x14ac:dyDescent="0.3">
      <c r="A454" s="23"/>
      <c r="B454" s="24" t="s">
        <v>435</v>
      </c>
      <c r="C454" s="25" t="s">
        <v>495</v>
      </c>
      <c r="D454" s="25" t="s">
        <v>536</v>
      </c>
      <c r="E454" s="25" t="s">
        <v>490</v>
      </c>
      <c r="F454" s="25" t="s">
        <v>486</v>
      </c>
      <c r="G454" s="26">
        <v>45210</v>
      </c>
      <c r="H454" s="26">
        <v>45309</v>
      </c>
      <c r="I454" s="26">
        <v>45158</v>
      </c>
      <c r="J454" s="27">
        <v>269</v>
      </c>
      <c r="K454" s="27">
        <v>75785.37000000001</v>
      </c>
      <c r="L454" s="27">
        <v>4717.62</v>
      </c>
      <c r="M454" s="25" t="s">
        <v>482</v>
      </c>
      <c r="N454" s="25" t="s">
        <v>478</v>
      </c>
      <c r="O454" s="25" t="s">
        <v>475</v>
      </c>
      <c r="P454" s="28">
        <v>14</v>
      </c>
      <c r="Q454" s="23"/>
      <c r="R454" s="23"/>
      <c r="S454" s="23"/>
      <c r="T454" s="23"/>
      <c r="U454" s="23"/>
      <c r="V454" s="23"/>
    </row>
    <row r="455" spans="1:22" x14ac:dyDescent="0.3">
      <c r="A455" s="23"/>
      <c r="B455" s="24" t="s">
        <v>436</v>
      </c>
      <c r="C455" s="25" t="s">
        <v>495</v>
      </c>
      <c r="D455" s="25" t="s">
        <v>536</v>
      </c>
      <c r="E455" s="25" t="s">
        <v>491</v>
      </c>
      <c r="F455" s="25" t="s">
        <v>485</v>
      </c>
      <c r="G455" s="26">
        <v>45641</v>
      </c>
      <c r="H455" s="26">
        <v>45572</v>
      </c>
      <c r="I455" s="26">
        <v>45032</v>
      </c>
      <c r="J455" s="27">
        <v>628</v>
      </c>
      <c r="K455" s="27">
        <v>102979.43999999999</v>
      </c>
      <c r="L455" s="27">
        <v>5991.7</v>
      </c>
      <c r="M455" s="25" t="s">
        <v>484</v>
      </c>
      <c r="N455" s="25" t="s">
        <v>477</v>
      </c>
      <c r="O455" s="25" t="s">
        <v>475</v>
      </c>
      <c r="P455" s="28">
        <v>4</v>
      </c>
      <c r="Q455" s="23"/>
      <c r="R455" s="23"/>
      <c r="S455" s="23"/>
      <c r="T455" s="23"/>
      <c r="U455" s="23"/>
      <c r="V455" s="23"/>
    </row>
    <row r="456" spans="1:22" x14ac:dyDescent="0.3">
      <c r="A456" s="23"/>
      <c r="B456" s="24" t="s">
        <v>437</v>
      </c>
      <c r="C456" s="25" t="s">
        <v>495</v>
      </c>
      <c r="D456" s="25" t="s">
        <v>536</v>
      </c>
      <c r="E456" s="25" t="s">
        <v>490</v>
      </c>
      <c r="F456" s="25" t="s">
        <v>488</v>
      </c>
      <c r="G456" s="26">
        <v>45652</v>
      </c>
      <c r="H456" s="26">
        <v>45154</v>
      </c>
      <c r="I456" s="26">
        <v>45517</v>
      </c>
      <c r="J456" s="27">
        <v>304</v>
      </c>
      <c r="K456" s="27">
        <v>34643.839999999997</v>
      </c>
      <c r="L456" s="27">
        <v>4717.62</v>
      </c>
      <c r="M456" s="25" t="s">
        <v>482</v>
      </c>
      <c r="N456" s="25" t="s">
        <v>479</v>
      </c>
      <c r="O456" s="25" t="s">
        <v>475</v>
      </c>
      <c r="P456" s="28">
        <v>6</v>
      </c>
      <c r="Q456" s="23"/>
      <c r="R456" s="23"/>
      <c r="S456" s="23"/>
      <c r="T456" s="23"/>
      <c r="U456" s="23"/>
      <c r="V456" s="23"/>
    </row>
    <row r="457" spans="1:22" x14ac:dyDescent="0.3">
      <c r="A457" s="23"/>
      <c r="B457" s="24" t="s">
        <v>438</v>
      </c>
      <c r="C457" s="25" t="s">
        <v>493</v>
      </c>
      <c r="D457" s="25" t="s">
        <v>536</v>
      </c>
      <c r="E457" s="25" t="s">
        <v>490</v>
      </c>
      <c r="F457" s="25" t="s">
        <v>487</v>
      </c>
      <c r="G457" s="26">
        <v>45126</v>
      </c>
      <c r="H457" s="26">
        <v>45628</v>
      </c>
      <c r="I457" s="26">
        <v>45347</v>
      </c>
      <c r="J457" s="27">
        <v>108</v>
      </c>
      <c r="K457" s="27">
        <v>19279.079999999998</v>
      </c>
      <c r="L457" s="27">
        <v>3624.13</v>
      </c>
      <c r="M457" s="25" t="s">
        <v>482</v>
      </c>
      <c r="N457" s="25" t="s">
        <v>478</v>
      </c>
      <c r="O457" s="25" t="s">
        <v>475</v>
      </c>
      <c r="P457" s="28">
        <v>17</v>
      </c>
      <c r="Q457" s="23"/>
      <c r="R457" s="23"/>
      <c r="S457" s="23"/>
      <c r="T457" s="23"/>
      <c r="U457" s="23"/>
      <c r="V457" s="23"/>
    </row>
    <row r="458" spans="1:22" x14ac:dyDescent="0.3">
      <c r="A458" s="23"/>
      <c r="B458" s="24" t="s">
        <v>439</v>
      </c>
      <c r="C458" s="25" t="s">
        <v>494</v>
      </c>
      <c r="D458" s="25" t="s">
        <v>536</v>
      </c>
      <c r="E458" s="25" t="s">
        <v>492</v>
      </c>
      <c r="F458" s="25" t="s">
        <v>487</v>
      </c>
      <c r="G458" s="26">
        <v>45005</v>
      </c>
      <c r="H458" s="26">
        <v>45403</v>
      </c>
      <c r="I458" s="26">
        <v>45146</v>
      </c>
      <c r="J458" s="27">
        <v>367</v>
      </c>
      <c r="K458" s="27">
        <v>69509.8</v>
      </c>
      <c r="L458" s="27">
        <v>9700.77</v>
      </c>
      <c r="M458" s="25" t="s">
        <v>482</v>
      </c>
      <c r="N458" s="25" t="s">
        <v>477</v>
      </c>
      <c r="O458" s="25" t="s">
        <v>474</v>
      </c>
      <c r="P458" s="28">
        <v>5</v>
      </c>
      <c r="Q458" s="23"/>
      <c r="R458" s="23"/>
      <c r="S458" s="23"/>
      <c r="T458" s="23"/>
      <c r="U458" s="23"/>
      <c r="V458" s="23"/>
    </row>
    <row r="459" spans="1:22" x14ac:dyDescent="0.3">
      <c r="A459" s="23"/>
      <c r="B459" s="24" t="s">
        <v>440</v>
      </c>
      <c r="C459" s="25" t="s">
        <v>496</v>
      </c>
      <c r="D459" s="25" t="s">
        <v>535</v>
      </c>
      <c r="E459" s="25" t="s">
        <v>491</v>
      </c>
      <c r="F459" s="25" t="s">
        <v>487</v>
      </c>
      <c r="G459" s="26">
        <v>45099</v>
      </c>
      <c r="H459" s="26">
        <v>45404</v>
      </c>
      <c r="I459" s="26">
        <v>45337</v>
      </c>
      <c r="J459" s="27">
        <v>373</v>
      </c>
      <c r="K459" s="27">
        <v>14550.73</v>
      </c>
      <c r="L459" s="27">
        <v>349.53</v>
      </c>
      <c r="M459" s="25" t="s">
        <v>483</v>
      </c>
      <c r="N459" s="25" t="s">
        <v>479</v>
      </c>
      <c r="O459" s="25" t="s">
        <v>474</v>
      </c>
      <c r="P459" s="28">
        <v>21</v>
      </c>
      <c r="Q459" s="23"/>
      <c r="R459" s="23"/>
      <c r="S459" s="23"/>
      <c r="T459" s="23"/>
      <c r="U459" s="23"/>
      <c r="V459" s="23"/>
    </row>
    <row r="460" spans="1:22" x14ac:dyDescent="0.3">
      <c r="A460" s="23"/>
      <c r="B460" s="24" t="s">
        <v>441</v>
      </c>
      <c r="C460" s="25" t="s">
        <v>493</v>
      </c>
      <c r="D460" s="25" t="s">
        <v>535</v>
      </c>
      <c r="E460" s="25" t="s">
        <v>492</v>
      </c>
      <c r="F460" s="25" t="s">
        <v>487</v>
      </c>
      <c r="G460" s="26">
        <v>45393</v>
      </c>
      <c r="H460" s="26">
        <v>45192</v>
      </c>
      <c r="I460" s="26">
        <v>45329</v>
      </c>
      <c r="J460" s="27">
        <v>376</v>
      </c>
      <c r="K460" s="27">
        <v>70665.440000000002</v>
      </c>
      <c r="L460" s="27">
        <v>8481.51</v>
      </c>
      <c r="M460" s="25" t="s">
        <v>483</v>
      </c>
      <c r="N460" s="25" t="s">
        <v>480</v>
      </c>
      <c r="O460" s="25" t="s">
        <v>475</v>
      </c>
      <c r="P460" s="28">
        <v>20</v>
      </c>
      <c r="Q460" s="23"/>
      <c r="R460" s="23"/>
      <c r="S460" s="23"/>
      <c r="T460" s="23"/>
      <c r="U460" s="23"/>
      <c r="V460" s="23"/>
    </row>
    <row r="461" spans="1:22" x14ac:dyDescent="0.3">
      <c r="A461" s="23"/>
      <c r="B461" s="24" t="s">
        <v>442</v>
      </c>
      <c r="C461" s="25" t="s">
        <v>493</v>
      </c>
      <c r="D461" s="25" t="s">
        <v>535</v>
      </c>
      <c r="E461" s="25" t="s">
        <v>491</v>
      </c>
      <c r="F461" s="25" t="s">
        <v>486</v>
      </c>
      <c r="G461" s="26">
        <v>45507</v>
      </c>
      <c r="H461" s="26">
        <v>45299</v>
      </c>
      <c r="I461" s="26">
        <v>45645</v>
      </c>
      <c r="J461" s="27">
        <v>548</v>
      </c>
      <c r="K461" s="27">
        <v>128670.40000000001</v>
      </c>
      <c r="L461" s="27">
        <v>8218.76</v>
      </c>
      <c r="M461" s="25" t="s">
        <v>481</v>
      </c>
      <c r="N461" s="25" t="s">
        <v>480</v>
      </c>
      <c r="O461" s="25" t="s">
        <v>475</v>
      </c>
      <c r="P461" s="28">
        <v>4</v>
      </c>
      <c r="Q461" s="23"/>
      <c r="R461" s="23"/>
      <c r="S461" s="23"/>
      <c r="T461" s="23"/>
      <c r="U461" s="23"/>
      <c r="V461" s="23"/>
    </row>
    <row r="462" spans="1:22" x14ac:dyDescent="0.3">
      <c r="A462" s="23"/>
      <c r="B462" s="24" t="s">
        <v>443</v>
      </c>
      <c r="C462" s="25" t="s">
        <v>495</v>
      </c>
      <c r="D462" s="25" t="s">
        <v>535</v>
      </c>
      <c r="E462" s="25" t="s">
        <v>491</v>
      </c>
      <c r="F462" s="25" t="s">
        <v>487</v>
      </c>
      <c r="G462" s="26">
        <v>45342</v>
      </c>
      <c r="H462" s="26">
        <v>45413</v>
      </c>
      <c r="I462" s="26">
        <v>45634</v>
      </c>
      <c r="J462" s="27">
        <v>580</v>
      </c>
      <c r="K462" s="27">
        <v>210400.8</v>
      </c>
      <c r="L462" s="27">
        <v>1562.88</v>
      </c>
      <c r="M462" s="25" t="s">
        <v>481</v>
      </c>
      <c r="N462" s="25" t="s">
        <v>477</v>
      </c>
      <c r="O462" s="25" t="s">
        <v>475</v>
      </c>
      <c r="P462" s="28">
        <v>29</v>
      </c>
      <c r="Q462" s="23"/>
      <c r="R462" s="23"/>
      <c r="S462" s="23"/>
      <c r="T462" s="23"/>
      <c r="U462" s="23"/>
      <c r="V462" s="23"/>
    </row>
    <row r="463" spans="1:22" x14ac:dyDescent="0.3">
      <c r="A463" s="23"/>
      <c r="B463" s="24" t="s">
        <v>444</v>
      </c>
      <c r="C463" s="25" t="s">
        <v>495</v>
      </c>
      <c r="D463" s="25" t="s">
        <v>535</v>
      </c>
      <c r="E463" s="25" t="s">
        <v>490</v>
      </c>
      <c r="F463" s="25" t="s">
        <v>488</v>
      </c>
      <c r="G463" s="26">
        <v>45375</v>
      </c>
      <c r="H463" s="26">
        <v>45361</v>
      </c>
      <c r="I463" s="26">
        <v>45429</v>
      </c>
      <c r="J463" s="27">
        <v>282</v>
      </c>
      <c r="K463" s="27">
        <v>93082.559999999998</v>
      </c>
      <c r="L463" s="27">
        <v>240.49</v>
      </c>
      <c r="M463" s="25" t="s">
        <v>481</v>
      </c>
      <c r="N463" s="25" t="s">
        <v>477</v>
      </c>
      <c r="O463" s="25" t="s">
        <v>475</v>
      </c>
      <c r="P463" s="28">
        <v>18</v>
      </c>
      <c r="Q463" s="23"/>
      <c r="R463" s="23"/>
      <c r="S463" s="23"/>
      <c r="T463" s="23"/>
      <c r="U463" s="23"/>
      <c r="V463" s="23"/>
    </row>
    <row r="464" spans="1:22" x14ac:dyDescent="0.3">
      <c r="A464" s="23"/>
      <c r="B464" s="24" t="s">
        <v>445</v>
      </c>
      <c r="C464" s="25" t="s">
        <v>494</v>
      </c>
      <c r="D464" s="25" t="s">
        <v>535</v>
      </c>
      <c r="E464" s="25" t="s">
        <v>492</v>
      </c>
      <c r="F464" s="25" t="s">
        <v>488</v>
      </c>
      <c r="G464" s="26">
        <v>44934</v>
      </c>
      <c r="H464" s="26">
        <v>45499</v>
      </c>
      <c r="I464" s="26">
        <v>45661</v>
      </c>
      <c r="J464" s="27">
        <v>221</v>
      </c>
      <c r="K464" s="27">
        <v>24917.75</v>
      </c>
      <c r="L464" s="27">
        <v>8481.51</v>
      </c>
      <c r="M464" s="25" t="s">
        <v>484</v>
      </c>
      <c r="N464" s="25" t="s">
        <v>477</v>
      </c>
      <c r="O464" s="25" t="s">
        <v>476</v>
      </c>
      <c r="P464" s="28">
        <v>9</v>
      </c>
      <c r="Q464" s="23"/>
      <c r="R464" s="23"/>
      <c r="S464" s="23"/>
      <c r="T464" s="23"/>
      <c r="U464" s="23"/>
      <c r="V464" s="23"/>
    </row>
    <row r="465" spans="1:22" x14ac:dyDescent="0.3">
      <c r="A465" s="23"/>
      <c r="B465" s="24" t="s">
        <v>446</v>
      </c>
      <c r="C465" s="25" t="s">
        <v>494</v>
      </c>
      <c r="D465" s="25" t="s">
        <v>535</v>
      </c>
      <c r="E465" s="25" t="s">
        <v>492</v>
      </c>
      <c r="F465" s="25" t="s">
        <v>486</v>
      </c>
      <c r="G465" s="26">
        <v>45126</v>
      </c>
      <c r="H465" s="26">
        <v>45304</v>
      </c>
      <c r="I465" s="26">
        <v>45012</v>
      </c>
      <c r="J465" s="27">
        <v>291</v>
      </c>
      <c r="K465" s="27">
        <v>96766.23</v>
      </c>
      <c r="L465" s="27">
        <v>6976.75</v>
      </c>
      <c r="M465" s="25" t="s">
        <v>484</v>
      </c>
      <c r="N465" s="25" t="s">
        <v>478</v>
      </c>
      <c r="O465" s="25" t="s">
        <v>476</v>
      </c>
      <c r="P465" s="28">
        <v>14</v>
      </c>
      <c r="Q465" s="23"/>
      <c r="R465" s="23"/>
      <c r="S465" s="23"/>
      <c r="T465" s="23"/>
      <c r="U465" s="23"/>
      <c r="V465" s="23"/>
    </row>
    <row r="466" spans="1:22" x14ac:dyDescent="0.3">
      <c r="A466" s="23"/>
      <c r="B466" s="24" t="s">
        <v>447</v>
      </c>
      <c r="C466" s="25" t="s">
        <v>495</v>
      </c>
      <c r="D466" s="25" t="s">
        <v>535</v>
      </c>
      <c r="E466" s="25" t="s">
        <v>490</v>
      </c>
      <c r="F466" s="25" t="s">
        <v>486</v>
      </c>
      <c r="G466" s="26">
        <v>45431</v>
      </c>
      <c r="H466" s="26">
        <v>45322</v>
      </c>
      <c r="I466" s="26">
        <v>45534</v>
      </c>
      <c r="J466" s="27">
        <v>217</v>
      </c>
      <c r="K466" s="27">
        <v>53071.689999999995</v>
      </c>
      <c r="L466" s="27">
        <v>4141.3599999999997</v>
      </c>
      <c r="M466" s="25" t="s">
        <v>484</v>
      </c>
      <c r="N466" s="25" t="s">
        <v>480</v>
      </c>
      <c r="O466" s="25" t="s">
        <v>476</v>
      </c>
      <c r="P466" s="28">
        <v>9</v>
      </c>
      <c r="Q466" s="23"/>
      <c r="R466" s="23"/>
      <c r="S466" s="23"/>
      <c r="T466" s="23"/>
      <c r="U466" s="23"/>
      <c r="V466" s="23"/>
    </row>
    <row r="467" spans="1:22" x14ac:dyDescent="0.3">
      <c r="A467" s="23"/>
      <c r="B467" s="24" t="s">
        <v>448</v>
      </c>
      <c r="C467" s="25" t="s">
        <v>495</v>
      </c>
      <c r="D467" s="25" t="s">
        <v>535</v>
      </c>
      <c r="E467" s="25" t="s">
        <v>490</v>
      </c>
      <c r="F467" s="25" t="s">
        <v>486</v>
      </c>
      <c r="G467" s="26">
        <v>45013</v>
      </c>
      <c r="H467" s="26">
        <v>45377</v>
      </c>
      <c r="I467" s="26">
        <v>45617</v>
      </c>
      <c r="J467" s="27">
        <v>377</v>
      </c>
      <c r="K467" s="27">
        <v>2876.5099999999998</v>
      </c>
      <c r="L467" s="27">
        <v>8815.68</v>
      </c>
      <c r="M467" s="25" t="s">
        <v>484</v>
      </c>
      <c r="N467" s="25" t="s">
        <v>477</v>
      </c>
      <c r="O467" s="25" t="s">
        <v>476</v>
      </c>
      <c r="P467" s="28">
        <v>26</v>
      </c>
      <c r="Q467" s="23"/>
      <c r="R467" s="23"/>
      <c r="S467" s="23"/>
      <c r="T467" s="23"/>
      <c r="U467" s="23"/>
      <c r="V467" s="23"/>
    </row>
    <row r="468" spans="1:22" x14ac:dyDescent="0.3">
      <c r="A468" s="23"/>
      <c r="B468" s="24" t="s">
        <v>449</v>
      </c>
      <c r="C468" s="25" t="s">
        <v>495</v>
      </c>
      <c r="D468" s="25" t="s">
        <v>536</v>
      </c>
      <c r="E468" s="25" t="s">
        <v>490</v>
      </c>
      <c r="F468" s="25" t="s">
        <v>486</v>
      </c>
      <c r="G468" s="26">
        <v>44969</v>
      </c>
      <c r="H468" s="26">
        <v>45291</v>
      </c>
      <c r="I468" s="26">
        <v>45295</v>
      </c>
      <c r="J468" s="27">
        <v>572</v>
      </c>
      <c r="K468" s="27">
        <v>230641.84000000003</v>
      </c>
      <c r="L468" s="27">
        <v>5734.04</v>
      </c>
      <c r="M468" s="25" t="s">
        <v>483</v>
      </c>
      <c r="N468" s="25" t="s">
        <v>479</v>
      </c>
      <c r="O468" s="25" t="s">
        <v>476</v>
      </c>
      <c r="P468" s="28">
        <v>15</v>
      </c>
      <c r="Q468" s="23"/>
      <c r="R468" s="23"/>
      <c r="S468" s="23"/>
      <c r="T468" s="23"/>
      <c r="U468" s="23"/>
      <c r="V468" s="23"/>
    </row>
    <row r="469" spans="1:22" x14ac:dyDescent="0.3">
      <c r="A469" s="23"/>
      <c r="B469" s="24" t="s">
        <v>450</v>
      </c>
      <c r="C469" s="25" t="s">
        <v>495</v>
      </c>
      <c r="D469" s="25" t="s">
        <v>536</v>
      </c>
      <c r="E469" s="25" t="s">
        <v>490</v>
      </c>
      <c r="F469" s="25" t="s">
        <v>486</v>
      </c>
      <c r="G469" s="26">
        <v>45311</v>
      </c>
      <c r="H469" s="26">
        <v>45384</v>
      </c>
      <c r="I469" s="26">
        <v>45093</v>
      </c>
      <c r="J469" s="27">
        <v>477</v>
      </c>
      <c r="K469" s="27">
        <v>184856.58000000002</v>
      </c>
      <c r="L469" s="27">
        <v>2892.79</v>
      </c>
      <c r="M469" s="25" t="s">
        <v>481</v>
      </c>
      <c r="N469" s="25" t="s">
        <v>480</v>
      </c>
      <c r="O469" s="25" t="s">
        <v>475</v>
      </c>
      <c r="P469" s="28">
        <v>11</v>
      </c>
      <c r="Q469" s="23"/>
      <c r="R469" s="23"/>
      <c r="S469" s="23"/>
      <c r="T469" s="23"/>
      <c r="U469" s="23"/>
      <c r="V469" s="23"/>
    </row>
    <row r="470" spans="1:22" x14ac:dyDescent="0.3">
      <c r="A470" s="23"/>
      <c r="B470" s="24" t="s">
        <v>451</v>
      </c>
      <c r="C470" s="25" t="s">
        <v>494</v>
      </c>
      <c r="D470" s="25" t="s">
        <v>534</v>
      </c>
      <c r="E470" s="25" t="s">
        <v>491</v>
      </c>
      <c r="F470" s="25" t="s">
        <v>486</v>
      </c>
      <c r="G470" s="26">
        <v>45547</v>
      </c>
      <c r="H470" s="26">
        <v>45652</v>
      </c>
      <c r="I470" s="26">
        <v>44978</v>
      </c>
      <c r="J470" s="27">
        <v>501</v>
      </c>
      <c r="K470" s="27">
        <v>138511.47</v>
      </c>
      <c r="L470" s="27">
        <v>7634.91</v>
      </c>
      <c r="M470" s="25" t="s">
        <v>481</v>
      </c>
      <c r="N470" s="25" t="s">
        <v>477</v>
      </c>
      <c r="O470" s="25" t="s">
        <v>475</v>
      </c>
      <c r="P470" s="28">
        <v>17</v>
      </c>
      <c r="Q470" s="23"/>
      <c r="R470" s="23"/>
      <c r="S470" s="23"/>
      <c r="T470" s="23"/>
      <c r="U470" s="23"/>
      <c r="V470" s="23"/>
    </row>
    <row r="471" spans="1:22" x14ac:dyDescent="0.3">
      <c r="A471" s="23"/>
      <c r="B471" s="24" t="s">
        <v>452</v>
      </c>
      <c r="C471" s="25" t="s">
        <v>494</v>
      </c>
      <c r="D471" s="25" t="s">
        <v>535</v>
      </c>
      <c r="E471" s="25" t="s">
        <v>492</v>
      </c>
      <c r="F471" s="25" t="s">
        <v>488</v>
      </c>
      <c r="G471" s="26">
        <v>45361</v>
      </c>
      <c r="H471" s="26">
        <v>45655</v>
      </c>
      <c r="I471" s="26">
        <v>45441</v>
      </c>
      <c r="J471" s="27">
        <v>410</v>
      </c>
      <c r="K471" s="27">
        <v>15539</v>
      </c>
      <c r="L471" s="27">
        <v>2810.77</v>
      </c>
      <c r="M471" s="25" t="s">
        <v>481</v>
      </c>
      <c r="N471" s="25" t="s">
        <v>480</v>
      </c>
      <c r="O471" s="25" t="s">
        <v>475</v>
      </c>
      <c r="P471" s="28">
        <v>22</v>
      </c>
      <c r="Q471" s="23"/>
      <c r="R471" s="23"/>
      <c r="S471" s="23"/>
      <c r="T471" s="23"/>
      <c r="U471" s="23"/>
      <c r="V471" s="23"/>
    </row>
    <row r="472" spans="1:22" x14ac:dyDescent="0.3">
      <c r="A472" s="23"/>
      <c r="B472" s="24" t="s">
        <v>453</v>
      </c>
      <c r="C472" s="25" t="s">
        <v>494</v>
      </c>
      <c r="D472" s="25" t="s">
        <v>536</v>
      </c>
      <c r="E472" s="25" t="s">
        <v>490</v>
      </c>
      <c r="F472" s="25" t="s">
        <v>486</v>
      </c>
      <c r="G472" s="26">
        <v>45334</v>
      </c>
      <c r="H472" s="26">
        <v>45153</v>
      </c>
      <c r="I472" s="26">
        <v>45259</v>
      </c>
      <c r="J472" s="27">
        <v>591</v>
      </c>
      <c r="K472" s="27">
        <v>227192.22</v>
      </c>
      <c r="L472" s="27">
        <v>5698.89</v>
      </c>
      <c r="M472" s="25" t="s">
        <v>484</v>
      </c>
      <c r="N472" s="25" t="s">
        <v>480</v>
      </c>
      <c r="O472" s="25" t="s">
        <v>476</v>
      </c>
      <c r="P472" s="28">
        <v>0</v>
      </c>
      <c r="Q472" s="23"/>
      <c r="R472" s="23"/>
      <c r="S472" s="23"/>
      <c r="T472" s="23"/>
      <c r="U472" s="23"/>
      <c r="V472" s="23"/>
    </row>
    <row r="473" spans="1:22" x14ac:dyDescent="0.3">
      <c r="A473" s="23"/>
      <c r="B473" s="24" t="s">
        <v>454</v>
      </c>
      <c r="C473" s="25" t="s">
        <v>496</v>
      </c>
      <c r="D473" s="25" t="s">
        <v>536</v>
      </c>
      <c r="E473" s="25" t="s">
        <v>492</v>
      </c>
      <c r="F473" s="25" t="s">
        <v>488</v>
      </c>
      <c r="G473" s="26">
        <v>45409</v>
      </c>
      <c r="H473" s="26">
        <v>45058</v>
      </c>
      <c r="I473" s="26">
        <v>45046</v>
      </c>
      <c r="J473" s="27">
        <v>435</v>
      </c>
      <c r="K473" s="27">
        <v>127863.9</v>
      </c>
      <c r="L473" s="27">
        <v>5489.62</v>
      </c>
      <c r="M473" s="25" t="s">
        <v>482</v>
      </c>
      <c r="N473" s="25" t="s">
        <v>477</v>
      </c>
      <c r="O473" s="25" t="s">
        <v>476</v>
      </c>
      <c r="P473" s="28">
        <v>15</v>
      </c>
      <c r="Q473" s="23"/>
      <c r="R473" s="23"/>
      <c r="S473" s="23"/>
      <c r="T473" s="23"/>
      <c r="U473" s="23"/>
      <c r="V473" s="23"/>
    </row>
    <row r="474" spans="1:22" x14ac:dyDescent="0.3">
      <c r="A474" s="23"/>
      <c r="B474" s="24" t="s">
        <v>454</v>
      </c>
      <c r="C474" s="25" t="s">
        <v>496</v>
      </c>
      <c r="D474" s="25" t="s">
        <v>534</v>
      </c>
      <c r="E474" s="25" t="s">
        <v>492</v>
      </c>
      <c r="F474" s="25" t="s">
        <v>485</v>
      </c>
      <c r="G474" s="26">
        <v>45590</v>
      </c>
      <c r="H474" s="26">
        <v>45515</v>
      </c>
      <c r="I474" s="26">
        <v>45267</v>
      </c>
      <c r="J474" s="27">
        <v>183</v>
      </c>
      <c r="K474" s="27">
        <v>71748.81</v>
      </c>
      <c r="L474" s="27">
        <v>2534.21</v>
      </c>
      <c r="M474" s="25" t="s">
        <v>482</v>
      </c>
      <c r="N474" s="25" t="s">
        <v>477</v>
      </c>
      <c r="O474" s="25" t="s">
        <v>476</v>
      </c>
      <c r="P474" s="28">
        <v>21</v>
      </c>
      <c r="Q474" s="23"/>
      <c r="R474" s="23"/>
      <c r="S474" s="23"/>
      <c r="T474" s="23"/>
      <c r="U474" s="23"/>
      <c r="V474" s="23"/>
    </row>
    <row r="475" spans="1:22" x14ac:dyDescent="0.3">
      <c r="A475" s="23"/>
      <c r="B475" s="24" t="s">
        <v>455</v>
      </c>
      <c r="C475" s="25" t="s">
        <v>496</v>
      </c>
      <c r="D475" s="25" t="s">
        <v>534</v>
      </c>
      <c r="E475" s="25" t="s">
        <v>490</v>
      </c>
      <c r="F475" s="25" t="s">
        <v>488</v>
      </c>
      <c r="G475" s="26">
        <v>44943</v>
      </c>
      <c r="H475" s="26">
        <v>45403</v>
      </c>
      <c r="I475" s="26">
        <v>45667</v>
      </c>
      <c r="J475" s="27">
        <v>119</v>
      </c>
      <c r="K475" s="27">
        <v>44876.090000000004</v>
      </c>
      <c r="L475" s="27">
        <v>2221.16</v>
      </c>
      <c r="M475" s="25" t="s">
        <v>483</v>
      </c>
      <c r="N475" s="25" t="s">
        <v>477</v>
      </c>
      <c r="O475" s="25" t="s">
        <v>474</v>
      </c>
      <c r="P475" s="28">
        <v>5</v>
      </c>
      <c r="Q475" s="23"/>
      <c r="R475" s="23"/>
      <c r="S475" s="23"/>
      <c r="T475" s="23"/>
      <c r="U475" s="23"/>
      <c r="V475" s="23"/>
    </row>
    <row r="476" spans="1:22" x14ac:dyDescent="0.3">
      <c r="A476" s="23"/>
      <c r="B476" s="29" t="s">
        <v>456</v>
      </c>
      <c r="C476" s="30" t="s">
        <v>494</v>
      </c>
      <c r="D476" s="30" t="s">
        <v>535</v>
      </c>
      <c r="E476" s="30" t="s">
        <v>490</v>
      </c>
      <c r="F476" s="30" t="s">
        <v>488</v>
      </c>
      <c r="G476" s="31">
        <v>45571</v>
      </c>
      <c r="H476" s="31">
        <v>45204</v>
      </c>
      <c r="I476" s="31">
        <v>45077</v>
      </c>
      <c r="J476" s="32">
        <v>364</v>
      </c>
      <c r="K476" s="32">
        <v>146506.36000000002</v>
      </c>
      <c r="L476" s="32">
        <v>1414.63</v>
      </c>
      <c r="M476" s="30" t="s">
        <v>484</v>
      </c>
      <c r="N476" s="30" t="s">
        <v>477</v>
      </c>
      <c r="O476" s="30" t="s">
        <v>475</v>
      </c>
      <c r="P476" s="33">
        <v>2</v>
      </c>
      <c r="Q476" s="23"/>
      <c r="R476" s="23"/>
      <c r="S476" s="23"/>
      <c r="T476" s="23"/>
      <c r="U476" s="23"/>
      <c r="V476" s="23"/>
    </row>
    <row r="477" spans="1:22" x14ac:dyDescent="0.3">
      <c r="A477" s="23"/>
      <c r="B477" s="23"/>
      <c r="C477" s="23"/>
      <c r="D477" s="23"/>
      <c r="E477" s="23"/>
      <c r="F477" s="23"/>
      <c r="G477" s="23"/>
      <c r="H477" s="23"/>
      <c r="I477" s="23"/>
      <c r="J477" s="23"/>
      <c r="K477" s="23"/>
      <c r="L477" s="23"/>
      <c r="M477" s="23"/>
      <c r="N477" s="23"/>
      <c r="O477" s="23"/>
      <c r="P477" s="23"/>
      <c r="Q477" s="23"/>
      <c r="R477" s="23"/>
      <c r="S477" s="23"/>
      <c r="T477" s="23"/>
      <c r="U477" s="23"/>
      <c r="V477" s="23"/>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5EA45-B4F6-4841-8551-0DD148DAFC98}">
  <dimension ref="A1:AR113"/>
  <sheetViews>
    <sheetView showGridLines="0" showRowColHeaders="0" zoomScale="112" zoomScaleNormal="112" workbookViewId="0"/>
  </sheetViews>
  <sheetFormatPr defaultRowHeight="14.4" x14ac:dyDescent="0.3"/>
  <sheetData>
    <row r="1" spans="1:44"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row>
    <row r="2" spans="1:44"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row>
    <row r="3" spans="1:44"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row>
    <row r="4" spans="1:44"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row>
    <row r="5" spans="1:44"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row>
    <row r="6" spans="1:44"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row>
    <row r="7" spans="1:44"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row>
    <row r="8" spans="1:44"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row>
    <row r="9" spans="1:44"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row>
    <row r="10" spans="1:44"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row>
    <row r="11" spans="1:44"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row>
    <row r="12" spans="1:44"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row>
    <row r="13" spans="1:44"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row>
    <row r="14" spans="1:44"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row>
    <row r="15" spans="1:44"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row>
    <row r="16" spans="1:44"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row>
    <row r="17" spans="1:44"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row>
    <row r="18" spans="1:44"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row>
    <row r="19" spans="1:44"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row>
    <row r="20" spans="1:44"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row>
    <row r="21" spans="1:44"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row>
    <row r="22" spans="1:44"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row>
    <row r="23" spans="1:44"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row>
    <row r="24" spans="1:44"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row>
    <row r="25" spans="1:44"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row>
    <row r="26" spans="1:44"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row>
    <row r="27" spans="1:44"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row>
    <row r="28" spans="1:44"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row>
    <row r="29" spans="1:44"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row>
    <row r="30" spans="1:44"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row>
    <row r="31" spans="1:44"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row>
    <row r="32" spans="1:44"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row>
    <row r="33" spans="1:44"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row>
    <row r="34" spans="1:44"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row>
    <row r="35" spans="1:44"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row>
    <row r="36" spans="1:44"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row>
    <row r="37" spans="1:44"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row>
    <row r="38" spans="1:44"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row>
    <row r="39" spans="1:44"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row>
    <row r="40" spans="1:44"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row>
    <row r="41" spans="1:44"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row>
    <row r="42" spans="1:44"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row>
    <row r="43" spans="1:44"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row>
    <row r="44" spans="1:44"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row>
    <row r="45" spans="1:44"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row>
    <row r="46" spans="1:44"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row>
    <row r="47" spans="1:44"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row>
    <row r="48" spans="1:44"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row>
    <row r="49" spans="1:44"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row>
    <row r="50" spans="1:44"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row>
    <row r="51" spans="1:44"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row>
    <row r="52" spans="1:44"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row>
    <row r="53" spans="1:44"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row>
    <row r="54" spans="1:44"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row>
    <row r="55" spans="1:44"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row>
    <row r="56" spans="1:44"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row>
    <row r="57" spans="1:44" x14ac:dyDescent="0.3">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row>
    <row r="58" spans="1:44" x14ac:dyDescent="0.3">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row>
    <row r="59" spans="1:44"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row>
    <row r="60" spans="1:44" x14ac:dyDescent="0.3">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row>
    <row r="61" spans="1:44" x14ac:dyDescent="0.3">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row>
    <row r="62" spans="1:44" x14ac:dyDescent="0.3">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row>
    <row r="63" spans="1:44" x14ac:dyDescent="0.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row>
    <row r="64" spans="1:44" x14ac:dyDescent="0.3">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row>
    <row r="65" spans="1:44" x14ac:dyDescent="0.3">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row>
    <row r="66" spans="1:44" x14ac:dyDescent="0.3">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row>
    <row r="67" spans="1:44" x14ac:dyDescent="0.3">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row>
    <row r="68" spans="1:44" x14ac:dyDescent="0.3">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row>
    <row r="69" spans="1:44" x14ac:dyDescent="0.3">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row>
    <row r="70" spans="1:44" x14ac:dyDescent="0.3">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row>
    <row r="71" spans="1:44" x14ac:dyDescent="0.3">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row>
    <row r="72" spans="1:44" x14ac:dyDescent="0.3">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row>
    <row r="73" spans="1:44" x14ac:dyDescent="0.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row>
    <row r="74" spans="1:44" x14ac:dyDescent="0.3">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row>
    <row r="75" spans="1:44" x14ac:dyDescent="0.3">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row>
    <row r="76" spans="1:44" x14ac:dyDescent="0.3">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row>
    <row r="77" spans="1:44" x14ac:dyDescent="0.3">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row>
    <row r="78" spans="1:44" x14ac:dyDescent="0.3">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row>
    <row r="79" spans="1:44" x14ac:dyDescent="0.3">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row>
    <row r="80" spans="1:44" x14ac:dyDescent="0.3">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row>
    <row r="81" spans="1:44" x14ac:dyDescent="0.3">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row>
    <row r="82" spans="1:44" x14ac:dyDescent="0.3">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row>
    <row r="83" spans="1:44" x14ac:dyDescent="0.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row>
    <row r="84" spans="1:44" x14ac:dyDescent="0.3">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row>
    <row r="85" spans="1:44" x14ac:dyDescent="0.3">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row>
    <row r="86" spans="1:44" x14ac:dyDescent="0.3">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row>
    <row r="87" spans="1:44" x14ac:dyDescent="0.3">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row>
    <row r="88" spans="1:44" x14ac:dyDescent="0.3">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row>
    <row r="89" spans="1:44" x14ac:dyDescent="0.3">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row>
    <row r="90" spans="1:44" x14ac:dyDescent="0.3">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row>
    <row r="91" spans="1:44" x14ac:dyDescent="0.3">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row>
    <row r="92" spans="1:44" x14ac:dyDescent="0.3">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row>
    <row r="93" spans="1:44" x14ac:dyDescent="0.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row>
    <row r="94" spans="1:44" x14ac:dyDescent="0.3">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row>
    <row r="95" spans="1:44" x14ac:dyDescent="0.3">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row>
    <row r="96" spans="1:44" x14ac:dyDescent="0.3">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row>
    <row r="97" spans="1:44" x14ac:dyDescent="0.3">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row>
    <row r="98" spans="1:44" x14ac:dyDescent="0.3">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row>
    <row r="99" spans="1:44" x14ac:dyDescent="0.3">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row>
    <row r="100" spans="1:44"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row>
    <row r="101" spans="1:44" x14ac:dyDescent="0.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row>
    <row r="102" spans="1:44" x14ac:dyDescent="0.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row>
    <row r="103" spans="1:44" x14ac:dyDescent="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row>
    <row r="104" spans="1:44" x14ac:dyDescent="0.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row>
    <row r="105" spans="1:44" x14ac:dyDescent="0.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row>
    <row r="106" spans="1:44" x14ac:dyDescent="0.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row>
    <row r="107" spans="1:44" x14ac:dyDescent="0.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row>
    <row r="108" spans="1:44" x14ac:dyDescent="0.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row>
    <row r="109" spans="1:44" x14ac:dyDescent="0.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row>
    <row r="110" spans="1:44" x14ac:dyDescent="0.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row>
    <row r="111" spans="1:44" x14ac:dyDescent="0.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row>
    <row r="112" spans="1:44" x14ac:dyDescent="0.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row>
    <row r="113" spans="1:44" x14ac:dyDescent="0.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F0D3CF-1406-4576-AC62-E133F92C48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vt:lpstr>
      <vt:lpstr>Dashboard</vt:lpstr>
      <vt:lpstr>Processing</vt:lpstr>
      <vt:lpstr>Operations</vt:lpstr>
      <vt:lpstr>Dataset</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Jan</dc:creator>
  <cp:lastModifiedBy>muhammed Jan</cp:lastModifiedBy>
  <dcterms:created xsi:type="dcterms:W3CDTF">2026-07-03T17:56:44Z</dcterms:created>
  <dcterms:modified xsi:type="dcterms:W3CDTF">2026-07-04T21:09:49Z</dcterms:modified>
</cp:coreProperties>
</file>